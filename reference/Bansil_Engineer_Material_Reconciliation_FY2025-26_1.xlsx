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alkrishnapjoshi/Downloads/"/>
    </mc:Choice>
  </mc:AlternateContent>
  <xr:revisionPtr revIDLastSave="0" documentId="13_ncr:1_{E9749185-18BE-1D4F-8BA1-4409A0651980}" xr6:coauthVersionLast="47" xr6:coauthVersionMax="47" xr10:uidLastSave="{00000000-0000-0000-0000-000000000000}"/>
  <bookViews>
    <workbookView xWindow="0" yWindow="0" windowWidth="38400" windowHeight="21600" tabRatio="500" firstSheet="83" activeTab="54" xr2:uid="{00000000-000D-0000-FFFF-FFFF00000000}"/>
  </bookViews>
  <sheets>
    <sheet name="Summary" sheetId="1" r:id="rId1"/>
    <sheet name="1. BBT Tap Off Box (Bus Plug)" sheetId="2" r:id="rId2"/>
    <sheet name="2. Cbl 95 sq mm x 1C Cu flexibl" sheetId="3" r:id="rId3"/>
    <sheet name="3. MS Steel - (Ton)" sheetId="4" r:id="rId4"/>
    <sheet name="4. BBT End feed box bus bar" sheetId="5" r:id="rId5"/>
    <sheet name="5. Cbl 16sqmm X 4Core Cu. Arm" sheetId="6" r:id="rId6"/>
    <sheet name="6. Cbl 35 sq mm X 1C cu flexibl" sheetId="7" r:id="rId7"/>
    <sheet name="7. Cable Tray 50 MM" sheetId="8" r:id="rId8"/>
    <sheet name="8. Insulating Rubber Mat 1100 V" sheetId="9" r:id="rId9"/>
    <sheet name="9. Cbl HT End Termination" sheetId="10" r:id="rId10"/>
    <sheet name="10. Cbl 6 sq mm X 1C cu flexibl" sheetId="11" r:id="rId11"/>
    <sheet name="11. 50 mm G.I Flexible conduit " sheetId="12" r:id="rId12"/>
    <sheet name="12. Cbl 1.5 sq mm x 3C Cu flexi" sheetId="13" r:id="rId13"/>
    <sheet name="13. BBT Hanger" sheetId="14" r:id="rId14"/>
    <sheet name="14. Fastner's" sheetId="15" r:id="rId15"/>
    <sheet name="15. Cbl 4 sq mm X 5C Cu arm" sheetId="16" r:id="rId16"/>
    <sheet name="16. Cbl 4 Sq MM X 4C SQ MM Cu. " sheetId="17" r:id="rId17"/>
    <sheet name="17. CONTACTOR" sheetId="18" r:id="rId18"/>
    <sheet name="18. Cbl 1.5 sq mm x 4C Cu flexi" sheetId="19" r:id="rId19"/>
    <sheet name="19. 6 sq mm Cu flexible green w" sheetId="20" r:id="rId20"/>
    <sheet name="20. 25X3 MM Cu. earthing strips" sheetId="21" r:id="rId21"/>
    <sheet name="21. 8 SWG GI wire" sheetId="22" r:id="rId22"/>
    <sheet name="22. PG Gland PG-11 Cbl OD 05.0 " sheetId="23" r:id="rId23"/>
    <sheet name="23. DC Gland DBW-02 Cbl OD 18.5" sheetId="24" r:id="rId24"/>
    <sheet name="24. MCB 20A 1P" sheetId="25" r:id="rId25"/>
    <sheet name="25. DC Gland DBW-09 Cbl OD 36.6" sheetId="26" r:id="rId26"/>
    <sheet name="26. DC Gland DBW-07 Cbl OD 30.0" sheetId="27" r:id="rId27"/>
    <sheet name="27. MCB 40A 4P" sheetId="28" r:id="rId28"/>
    <sheet name="28. MCB 6A 1P" sheetId="29" r:id="rId29"/>
    <sheet name="29. Cable Tray Growmate" sheetId="30" r:id="rId30"/>
    <sheet name="30. LTG Emergency Light" sheetId="31" r:id="rId31"/>
    <sheet name="31. Vigi 63A 4P" sheetId="32" r:id="rId32"/>
    <sheet name="32. BBT Wall Frame Assembly" sheetId="33" r:id="rId33"/>
    <sheet name="33. Vigi 63A 2P" sheetId="34" r:id="rId34"/>
    <sheet name="34. RCCB 40A 2P" sheetId="35" r:id="rId35"/>
    <sheet name="35. Lightning Arrester" sheetId="36" r:id="rId36"/>
    <sheet name="36. Cbl 4 SQ MM X 4C Cu. ARM" sheetId="37" r:id="rId37"/>
    <sheet name="37. Vigi 25A 1PN" sheetId="38" r:id="rId38"/>
    <sheet name="38. DC Gland DBW-04 Cbl OD 23.0" sheetId="39" r:id="rId39"/>
    <sheet name="39. MCB 16A 2P" sheetId="40" r:id="rId40"/>
    <sheet name="40. Cbl 35 X 3.5C sq mm Cu Arm" sheetId="41" r:id="rId41"/>
    <sheet name="41. LV516302" sheetId="42" r:id="rId42"/>
    <sheet name="42. 12 way SPN DD DB" sheetId="43" r:id="rId43"/>
    <sheet name="43. BBT End cover for bus bar" sheetId="44" r:id="rId44"/>
    <sheet name="44. 50X6 MM HDGI earthing strip" sheetId="45" r:id="rId45"/>
    <sheet name="45. Vigi 16A 1PN" sheetId="46" r:id="rId46"/>
    <sheet name="46. Spreader" sheetId="47" r:id="rId47"/>
    <sheet name="47. 08 way VTPN DD DB" sheetId="48" r:id="rId48"/>
    <sheet name="48. 12 way TPN DD DB" sheetId="49" r:id="rId49"/>
    <sheet name="49. BBT Canopy" sheetId="50" r:id="rId50"/>
    <sheet name="50. Conector" sheetId="51" r:id="rId51"/>
    <sheet name="51. Earthing Pit Material" sheetId="52" r:id="rId52"/>
    <sheet name="52. 6 WAY TPN DD DB" sheetId="53" r:id="rId53"/>
    <sheet name="53. 25X3 mm HDGI earthing strip" sheetId="54" r:id="rId54"/>
    <sheet name="54. Junction Box With terminal " sheetId="55" r:id="rId55"/>
    <sheet name="55. RCCB 25A 4P" sheetId="56" r:id="rId56"/>
    <sheet name="56. DC Gland DBW-012 Cbl OD 61." sheetId="57" r:id="rId57"/>
    <sheet name="57. Cbl 70 sq mm X 1C cu flexib" sheetId="58" r:id="rId58"/>
    <sheet name="58. RCCB 40A 2P" sheetId="59" r:id="rId59"/>
    <sheet name="59. 32A 3P+N+E Plug" sheetId="60" r:id="rId60"/>
    <sheet name="60. MCB 32A 4P" sheetId="61" r:id="rId61"/>
    <sheet name="61. BBT 90 Deg Elbow" sheetId="62" r:id="rId62"/>
    <sheet name="62. Threaded Rod" sheetId="63" r:id="rId63"/>
    <sheet name="63. MCB 10A 1P" sheetId="64" r:id="rId64"/>
    <sheet name="64. 8 way TPN DD DB" sheetId="65" r:id="rId65"/>
    <sheet name="65. DC Gland DBW-010 Cbl OD 46." sheetId="66" r:id="rId66"/>
    <sheet name="66. Street Light Pole" sheetId="67" r:id="rId67"/>
    <sheet name="67. Exhaust Fan" sheetId="68" r:id="rId68"/>
    <sheet name="68. Maintenance Free Earthing" sheetId="69" r:id="rId69"/>
    <sheet name="69. Chemical Bags For Earthing" sheetId="70" r:id="rId70"/>
    <sheet name="70. 750 mm dia wall mount type " sheetId="71" r:id="rId71"/>
    <sheet name="71. BBT Copper termination link" sheetId="72" r:id="rId72"/>
    <sheet name="72. Insulator with Hardware" sheetId="73" r:id="rId73"/>
    <sheet name="73. Cbl 2.5 sq mm x 3C Cu flexi" sheetId="74" r:id="rId74"/>
    <sheet name="74. MCB 32A 1P" sheetId="75" r:id="rId75"/>
    <sheet name="75. BATTERY" sheetId="76" r:id="rId76"/>
    <sheet name="76. Wire 4 Sq MM X 1C CU Flex." sheetId="77" r:id="rId77"/>
    <sheet name="77. Junction box" sheetId="78" r:id="rId78"/>
    <sheet name="78. CHAMBER &amp; COVER" sheetId="79" r:id="rId79"/>
    <sheet name="79. Cbl 6 SQ MM X 4C Cu. ARM" sheetId="80" r:id="rId80"/>
    <sheet name="80. Cbl 10 Sq MM X 4C Cu. ARM" sheetId="81" r:id="rId81"/>
    <sheet name="81. BBT Straight Feeder" sheetId="82" r:id="rId82"/>
    <sheet name="82. BBT Copper or Aluminium ter" sheetId="83" r:id="rId83"/>
    <sheet name="83. BBT Copper Flexible" sheetId="84" r:id="rId84"/>
    <sheet name="84. Wire 1.5 Sq MM X 1C Cu. Fle" sheetId="85" r:id="rId85"/>
    <sheet name="85. LTG Lighting Fixture" sheetId="86" r:id="rId86"/>
    <sheet name="86. Wire 1C X 2.5 SQ MM CU Flex" sheetId="87" r:id="rId87"/>
    <sheet name="87. Circuit Wire" sheetId="88" r:id="rId88"/>
    <sheet name="88. BBT Plug in hole for Bus ba" sheetId="89" r:id="rId89"/>
    <sheet name="89. MS Steel In - (Kg)" sheetId="90" r:id="rId90"/>
    <sheet name="90. Wire 1 Sq MM X 1C CU Flex." sheetId="91" r:id="rId91"/>
    <sheet name="91. Cable Gland with Hood" sheetId="92" r:id="rId92"/>
    <sheet name="92. Electrical Panel" sheetId="93" r:id="rId93"/>
    <sheet name="93. MCB" sheetId="94" r:id="rId9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1" i="94" l="1"/>
  <c r="F62" i="94" s="1"/>
  <c r="C61" i="94"/>
  <c r="F17" i="93"/>
  <c r="F18" i="93" s="1"/>
  <c r="C17" i="93"/>
  <c r="F32" i="92"/>
  <c r="F33" i="92" s="1"/>
  <c r="C32" i="92"/>
  <c r="F17" i="91"/>
  <c r="F16" i="91"/>
  <c r="C16" i="91"/>
  <c r="F37" i="90"/>
  <c r="F36" i="90"/>
  <c r="C36" i="90"/>
  <c r="F10" i="89"/>
  <c r="F9" i="89"/>
  <c r="C9" i="89"/>
  <c r="F31" i="88"/>
  <c r="F32" i="88" s="1"/>
  <c r="C31" i="88"/>
  <c r="F9" i="87"/>
  <c r="F10" i="87" s="1"/>
  <c r="C9" i="87"/>
  <c r="F66" i="86"/>
  <c r="F67" i="86" s="1"/>
  <c r="C66" i="86"/>
  <c r="F7" i="85"/>
  <c r="F8" i="85" s="1"/>
  <c r="C7" i="85"/>
  <c r="F11" i="84"/>
  <c r="F12" i="84" s="1"/>
  <c r="C11" i="84"/>
  <c r="F10" i="83"/>
  <c r="F9" i="83"/>
  <c r="C9" i="83"/>
  <c r="F32" i="82"/>
  <c r="F31" i="82"/>
  <c r="C31" i="82"/>
  <c r="F10" i="81"/>
  <c r="C10" i="81"/>
  <c r="F11" i="81" s="1"/>
  <c r="F10" i="80"/>
  <c r="F11" i="80" s="1"/>
  <c r="C10" i="80"/>
  <c r="F16" i="79"/>
  <c r="F17" i="79" s="1"/>
  <c r="C16" i="79"/>
  <c r="F32" i="78"/>
  <c r="F33" i="78" s="1"/>
  <c r="C32" i="78"/>
  <c r="F8" i="77"/>
  <c r="F9" i="77" s="1"/>
  <c r="C8" i="77"/>
  <c r="F8" i="76"/>
  <c r="F9" i="76" s="1"/>
  <c r="C8" i="76"/>
  <c r="F9" i="75"/>
  <c r="F8" i="75"/>
  <c r="C8" i="75"/>
  <c r="F24" i="74"/>
  <c r="F23" i="74"/>
  <c r="C23" i="74"/>
  <c r="F11" i="73"/>
  <c r="C11" i="73"/>
  <c r="F12" i="73" s="1"/>
  <c r="F11" i="72"/>
  <c r="F12" i="72" s="1"/>
  <c r="C11" i="72"/>
  <c r="F9" i="71"/>
  <c r="F10" i="71" s="1"/>
  <c r="C9" i="71"/>
  <c r="F16" i="70"/>
  <c r="F17" i="70" s="1"/>
  <c r="C16" i="70"/>
  <c r="F15" i="69"/>
  <c r="F16" i="69" s="1"/>
  <c r="C15" i="69"/>
  <c r="F14" i="68"/>
  <c r="F15" i="68" s="1"/>
  <c r="C14" i="68"/>
  <c r="F14" i="67"/>
  <c r="F13" i="67"/>
  <c r="C13" i="67"/>
  <c r="F11" i="66"/>
  <c r="F10" i="66"/>
  <c r="C10" i="66"/>
  <c r="F9" i="65"/>
  <c r="C9" i="65"/>
  <c r="F10" i="65" s="1"/>
  <c r="F7" i="64"/>
  <c r="F8" i="64" s="1"/>
  <c r="C7" i="64"/>
  <c r="F7" i="63"/>
  <c r="F8" i="63" s="1"/>
  <c r="C7" i="63"/>
  <c r="F19" i="62"/>
  <c r="F20" i="62" s="1"/>
  <c r="C19" i="62"/>
  <c r="F8" i="61"/>
  <c r="F9" i="61" s="1"/>
  <c r="C8" i="61"/>
  <c r="F8" i="60"/>
  <c r="F9" i="60" s="1"/>
  <c r="C8" i="60"/>
  <c r="F9" i="59"/>
  <c r="F8" i="59"/>
  <c r="C8" i="59"/>
  <c r="F9" i="58"/>
  <c r="F8" i="58"/>
  <c r="C8" i="58"/>
  <c r="F10" i="57"/>
  <c r="C10" i="57"/>
  <c r="F11" i="57" s="1"/>
  <c r="F8" i="56"/>
  <c r="F9" i="56" s="1"/>
  <c r="C8" i="56"/>
  <c r="F10" i="55"/>
  <c r="F11" i="55" s="1"/>
  <c r="C10" i="55"/>
  <c r="F19" i="54"/>
  <c r="C19" i="54"/>
  <c r="F10" i="53"/>
  <c r="F11" i="53" s="1"/>
  <c r="C10" i="53"/>
  <c r="F25" i="52"/>
  <c r="C25" i="52"/>
  <c r="F16" i="51"/>
  <c r="F15" i="51"/>
  <c r="C15" i="51"/>
  <c r="F12" i="50"/>
  <c r="F13" i="50" s="1"/>
  <c r="C12" i="50"/>
  <c r="F8" i="49"/>
  <c r="C8" i="49"/>
  <c r="F9" i="49" s="1"/>
  <c r="F7" i="48"/>
  <c r="F8" i="48" s="1"/>
  <c r="C7" i="48"/>
  <c r="F7" i="47"/>
  <c r="F8" i="47" s="1"/>
  <c r="C7" i="47"/>
  <c r="F8" i="46"/>
  <c r="F9" i="46" s="1"/>
  <c r="C8" i="46"/>
  <c r="F16" i="45"/>
  <c r="F17" i="45" s="1"/>
  <c r="C16" i="45"/>
  <c r="F8" i="44"/>
  <c r="F9" i="44" s="1"/>
  <c r="C8" i="44"/>
  <c r="F9" i="43"/>
  <c r="F10" i="43" s="1"/>
  <c r="C9" i="43"/>
  <c r="F8" i="42"/>
  <c r="F7" i="42"/>
  <c r="C7" i="42"/>
  <c r="F8" i="41"/>
  <c r="C8" i="41"/>
  <c r="F9" i="41" s="1"/>
  <c r="F9" i="40"/>
  <c r="F10" i="40" s="1"/>
  <c r="C9" i="40"/>
  <c r="F9" i="39"/>
  <c r="F10" i="39" s="1"/>
  <c r="C9" i="39"/>
  <c r="F8" i="38"/>
  <c r="F9" i="38" s="1"/>
  <c r="C8" i="38"/>
  <c r="F11" i="37"/>
  <c r="C11" i="37"/>
  <c r="F9" i="36"/>
  <c r="F10" i="36" s="1"/>
  <c r="C9" i="36"/>
  <c r="F10" i="35"/>
  <c r="F9" i="35"/>
  <c r="C9" i="35"/>
  <c r="F8" i="34"/>
  <c r="F7" i="34"/>
  <c r="C7" i="34"/>
  <c r="F9" i="33"/>
  <c r="C9" i="33"/>
  <c r="F10" i="33" s="1"/>
  <c r="F8" i="32"/>
  <c r="F9" i="32" s="1"/>
  <c r="C8" i="32"/>
  <c r="F7" i="31"/>
  <c r="F8" i="31" s="1"/>
  <c r="C7" i="31"/>
  <c r="F7" i="30"/>
  <c r="F8" i="30" s="1"/>
  <c r="C7" i="30"/>
  <c r="F8" i="29"/>
  <c r="F9" i="29" s="1"/>
  <c r="C8" i="29"/>
  <c r="F8" i="28"/>
  <c r="F9" i="28" s="1"/>
  <c r="C8" i="28"/>
  <c r="F9" i="27"/>
  <c r="F8" i="27"/>
  <c r="C8" i="27"/>
  <c r="F8" i="26"/>
  <c r="F7" i="26"/>
  <c r="C7" i="26"/>
  <c r="F7" i="25"/>
  <c r="C7" i="25"/>
  <c r="F8" i="25" s="1"/>
  <c r="F8" i="24"/>
  <c r="F9" i="24" s="1"/>
  <c r="C8" i="24"/>
  <c r="F8" i="23"/>
  <c r="F9" i="23" s="1"/>
  <c r="C8" i="23"/>
  <c r="F11" i="22"/>
  <c r="F12" i="22" s="1"/>
  <c r="C11" i="22"/>
  <c r="F11" i="21"/>
  <c r="F12" i="21" s="1"/>
  <c r="C11" i="21"/>
  <c r="F8" i="20"/>
  <c r="F9" i="20" s="1"/>
  <c r="C8" i="20"/>
  <c r="F12" i="19"/>
  <c r="F13" i="19" s="1"/>
  <c r="C12" i="19"/>
  <c r="F14" i="18"/>
  <c r="F13" i="18"/>
  <c r="C13" i="18"/>
  <c r="F11" i="17"/>
  <c r="C11" i="17"/>
  <c r="F12" i="17" s="1"/>
  <c r="F9" i="16"/>
  <c r="F10" i="16" s="1"/>
  <c r="C9" i="16"/>
  <c r="F25" i="15"/>
  <c r="F26" i="15" s="1"/>
  <c r="C25" i="15"/>
  <c r="F11" i="14"/>
  <c r="F12" i="14" s="1"/>
  <c r="C11" i="14"/>
  <c r="F24" i="13"/>
  <c r="C24" i="13"/>
  <c r="F10" i="12"/>
  <c r="F11" i="12" s="1"/>
  <c r="C10" i="12"/>
  <c r="F9" i="11"/>
  <c r="F8" i="11"/>
  <c r="C8" i="11"/>
  <c r="F11" i="10"/>
  <c r="F10" i="10"/>
  <c r="C10" i="10"/>
  <c r="F9" i="9"/>
  <c r="C9" i="9"/>
  <c r="F10" i="9" s="1"/>
  <c r="F16" i="8"/>
  <c r="F17" i="8" s="1"/>
  <c r="C16" i="8"/>
  <c r="F13" i="7"/>
  <c r="F14" i="7" s="1"/>
  <c r="C13" i="7"/>
  <c r="F9" i="6"/>
  <c r="F10" i="6" s="1"/>
  <c r="C9" i="6"/>
  <c r="F18" i="5"/>
  <c r="F19" i="5" s="1"/>
  <c r="C18" i="5"/>
  <c r="F11" i="4"/>
  <c r="F12" i="4" s="1"/>
  <c r="C11" i="4"/>
  <c r="F13" i="3"/>
  <c r="F12" i="3"/>
  <c r="C12" i="3"/>
  <c r="F11" i="2"/>
  <c r="F10" i="2"/>
  <c r="C10" i="2"/>
  <c r="F20" i="54" l="1"/>
  <c r="F26" i="52"/>
  <c r="F12" i="37"/>
  <c r="F25" i="13"/>
</calcChain>
</file>

<file path=xl/sharedStrings.xml><?xml version="1.0" encoding="utf-8"?>
<sst xmlns="http://schemas.openxmlformats.org/spreadsheetml/2006/main" count="3439" uniqueCount="1028">
  <si>
    <t>BANSIL ENGINEER</t>
  </si>
  <si>
    <t>Material Reconciliation Summary — Sales Invoice Qty vs Purchase Bill Qty, FY 2025-26 (01-04-2025 to 31-03-2026)</t>
  </si>
  <si>
    <t>Source: Zoho Books Item Transactions (per-item Sales Invoice / Purchase Bill list, fetched live Sep-2026), cross-checked against the client-exported "Sales by Item" report; closing stock/value per Inventory Valuation Summary as of 31-03-2026</t>
  </si>
  <si>
    <t>Sr</t>
  </si>
  <si>
    <t>Item Name</t>
  </si>
  <si>
    <t>Unit</t>
  </si>
  <si>
    <t>FY25-26 Purchase Qty
(Purchase Bills)</t>
  </si>
  <si>
    <t>FY25-26 Sales Qty
(Sales Invoices)</t>
  </si>
  <si>
    <t>Balance
(Purchase - Sales)</t>
  </si>
  <si>
    <t>Closing Stock on Hand
(31-03-2026, per client file)</t>
  </si>
  <si>
    <t>Inventory Value
(31-03-2026, ₹)</t>
  </si>
  <si>
    <t>Flag</t>
  </si>
  <si>
    <t>BBT Tap Off Box (Bus Plug)</t>
  </si>
  <si>
    <t>Nos</t>
  </si>
  <si>
    <t>SHORTAGE — sold 7.00 Nos more than purchased</t>
  </si>
  <si>
    <t>Cbl 95 sq mm x 1C Cu flexible</t>
  </si>
  <si>
    <t>M</t>
  </si>
  <si>
    <t>SHORTAGE — sold 236.00 M more than purchased</t>
  </si>
  <si>
    <t>MS Steel - (Ton)</t>
  </si>
  <si>
    <t>Ton</t>
  </si>
  <si>
    <t>SHORTAGE — sold 5.92 Ton more than purchased</t>
  </si>
  <si>
    <t>BBT End feed box bus bar</t>
  </si>
  <si>
    <t>SHORTAGE — sold 2.00 Nos more than purchased</t>
  </si>
  <si>
    <t>Cbl 16sqmm X 4Core Cu. Arm</t>
  </si>
  <si>
    <t>SHORTAGE — sold 110.00 M more than purchased</t>
  </si>
  <si>
    <t>Cbl 35 sq mm X 1C cu flexible</t>
  </si>
  <si>
    <t>SHORTAGE — sold 88.00 M more than purchased</t>
  </si>
  <si>
    <t>Cable Tray 50 MM</t>
  </si>
  <si>
    <t>SHORTAGE — sold 280.00 M more than purchased</t>
  </si>
  <si>
    <t>Insulating Rubber Mat 1100 Volt Grade</t>
  </si>
  <si>
    <t>SHORTAGE — sold 36.00 M more than purchased</t>
  </si>
  <si>
    <t>Cbl HT End Termination</t>
  </si>
  <si>
    <t>SHORTAGE — sold 1.00 Nos more than purchased</t>
  </si>
  <si>
    <t>Cbl 6 sq mm X 1C cu flexible cable</t>
  </si>
  <si>
    <t>SHORTAGE — sold 200.00 M more than purchased</t>
  </si>
  <si>
    <t>50 mm G.I Flexible conduit with PVC coating</t>
  </si>
  <si>
    <t>SHORTAGE — sold 120.00 M more than purchased</t>
  </si>
  <si>
    <t>Cbl 1.5 sq mm x 3C Cu flexible</t>
  </si>
  <si>
    <t>SHORTAGE — sold 174.00 M more than purchased</t>
  </si>
  <si>
    <t>BBT Hanger</t>
  </si>
  <si>
    <t>Surplus 1.00 Nos (unconsumed stock)</t>
  </si>
  <si>
    <t>Fastner's</t>
  </si>
  <si>
    <t>Surplus 1,603.00 Nos (unconsumed stock)</t>
  </si>
  <si>
    <t>Cbl 4 sq mm X 5C Cu arm</t>
  </si>
  <si>
    <t>SHORTAGE — sold 20.00 M more than purchased</t>
  </si>
  <si>
    <t>Cbl 4 Sq MM X 4C SQ MM Cu. flexible</t>
  </si>
  <si>
    <t>SHORTAGE — sold 2,433.00 M more than purchased</t>
  </si>
  <si>
    <t>CONTACTOR</t>
  </si>
  <si>
    <t>SHORTAGE — sold 6.00 Nos more than purchased</t>
  </si>
  <si>
    <t>Cbl 1.5 sq mm x 4C Cu flexible</t>
  </si>
  <si>
    <t>SHORTAGE — sold 15.00 M more than purchased</t>
  </si>
  <si>
    <t>6 sq mm Cu flexible green wire for earthing Termination</t>
  </si>
  <si>
    <t>SHORTAGE — sold 40.00 Nos more than purchased</t>
  </si>
  <si>
    <t>25X3 MM Cu. earthing strips</t>
  </si>
  <si>
    <t>SHORTAGE — sold 0.90 M more than purchased</t>
  </si>
  <si>
    <t>8 SWG GI wire</t>
  </si>
  <si>
    <t>SHORTAGE — sold 610.17 M more than purchased</t>
  </si>
  <si>
    <t>PG Gland PG-11 Cbl OD 05.0 TO 10.0 MM,</t>
  </si>
  <si>
    <t>SHORTAGE — sold 204.00 Nos more than purchased</t>
  </si>
  <si>
    <t>DC Gland DBW-02 Cbl OD 18.5 TO 20.0MM,</t>
  </si>
  <si>
    <t>SHORTAGE — sold 271.00 Nos more than purchased</t>
  </si>
  <si>
    <t>MCB 20A 1P</t>
  </si>
  <si>
    <t>Surplus 2.00 Nos (unconsumed stock)</t>
  </si>
  <si>
    <t>DC Gland DBW-09 Cbl OD 36.6 - 44.5 MM,</t>
  </si>
  <si>
    <t>DC Gland DBW-07 Cbl OD 30.0 TO 37.0 MM,</t>
  </si>
  <si>
    <t>MCB 40A 4P</t>
  </si>
  <si>
    <t>nos</t>
  </si>
  <si>
    <t>Surplus 1.00 nos (unconsumed stock)</t>
  </si>
  <si>
    <t>MCB 6A 1P</t>
  </si>
  <si>
    <t>Surplus 12.00 Nos (unconsumed stock)</t>
  </si>
  <si>
    <t>Cable Tray Growmate</t>
  </si>
  <si>
    <t>Surplus 25.00 M (unconsumed stock)</t>
  </si>
  <si>
    <t>LTG Emergency Light</t>
  </si>
  <si>
    <t>Vigi 63A 4P</t>
  </si>
  <si>
    <t>No FY25-26 movement found</t>
  </si>
  <si>
    <t>BBT Wall Frame Assembly</t>
  </si>
  <si>
    <t>SET</t>
  </si>
  <si>
    <t>Surplus 2.00 SET (unconsumed stock)</t>
  </si>
  <si>
    <t>Vigi 63A 2P</t>
  </si>
  <si>
    <t>RCCB 40A 2P</t>
  </si>
  <si>
    <t>Surplus 24.00 Nos (unconsumed stock)</t>
  </si>
  <si>
    <t>Lightning Arrester</t>
  </si>
  <si>
    <t>Surplus 5.00 SET (unconsumed stock)</t>
  </si>
  <si>
    <t>Cbl 4 SQ MM X 4C Cu. ARM</t>
  </si>
  <si>
    <t>Surplus 20.00 M (unconsumed stock)</t>
  </si>
  <si>
    <t>Vigi 25A 1PN</t>
  </si>
  <si>
    <t>DC Gland DBW-04 Cbl OD 23.0 TO 26.0MM</t>
  </si>
  <si>
    <t>SHORTAGE — sold 45.00 Nos more than purchased</t>
  </si>
  <si>
    <t>MCB 16A 2P</t>
  </si>
  <si>
    <t>Cbl 35 X 3.5C sq mm Cu Arm</t>
  </si>
  <si>
    <t>Surplus 4.00 M (unconsumed stock)</t>
  </si>
  <si>
    <t>LV516302</t>
  </si>
  <si>
    <t>12 way SPN DD DB</t>
  </si>
  <si>
    <t>Surplus 4.00 Nos (unconsumed stock)</t>
  </si>
  <si>
    <t>BBT End cover for bus bar</t>
  </si>
  <si>
    <t>50X6 MM HDGI earthing strips</t>
  </si>
  <si>
    <t>SHORTAGE — sold 410.00 M more than purchased</t>
  </si>
  <si>
    <t>Vigi 16A 1PN</t>
  </si>
  <si>
    <t>Spreader</t>
  </si>
  <si>
    <t>Surplus 7.00 SET (unconsumed stock)</t>
  </si>
  <si>
    <t>08 way VTPN DD DB</t>
  </si>
  <si>
    <t>12 way TPN DD DB</t>
  </si>
  <si>
    <t>BBT Canopy</t>
  </si>
  <si>
    <t>Surplus 10.48 M (unconsumed stock)</t>
  </si>
  <si>
    <t>Conector</t>
  </si>
  <si>
    <t>Surplus 105.00 Nos (unconsumed stock)</t>
  </si>
  <si>
    <t>Earthing Pit Material</t>
  </si>
  <si>
    <t>SHORTAGE — sold 12.00 SET more than purchased</t>
  </si>
  <si>
    <t>6 WAY TPN DD DB</t>
  </si>
  <si>
    <t>25X3 mm HDGI earthing strips</t>
  </si>
  <si>
    <t>Surplus 58.00 M (unconsumed stock)</t>
  </si>
  <si>
    <t>Junction Box With terminal size - 98 x 98 x 61 mm</t>
  </si>
  <si>
    <t>Surplus 26.00 Nos (unconsumed stock)</t>
  </si>
  <si>
    <t>RCCB 25A 4P</t>
  </si>
  <si>
    <t>Surplus 6.00 Nos (unconsumed stock)</t>
  </si>
  <si>
    <t>DC Gland DBW-012 Cbl OD 61.0 TO 66.0 MM,</t>
  </si>
  <si>
    <t>Surplus 17.00 Nos (unconsumed stock)</t>
  </si>
  <si>
    <t>Cbl 70 sq mm X 1C cu flexible</t>
  </si>
  <si>
    <t>Surplus 14.00 M (unconsumed stock)</t>
  </si>
  <si>
    <t>32A 3P+N+E Plug</t>
  </si>
  <si>
    <t>MCB 32A 4P</t>
  </si>
  <si>
    <t>Surplus 11.00 Nos (unconsumed stock)</t>
  </si>
  <si>
    <t>BBT 90 Deg Elbow</t>
  </si>
  <si>
    <t>Surplus 8.00 Nos (unconsumed stock)</t>
  </si>
  <si>
    <t>Threaded Rod</t>
  </si>
  <si>
    <t>Surplus 330.00 M (unconsumed stock)</t>
  </si>
  <si>
    <t>MCB 10A 1P</t>
  </si>
  <si>
    <t>Matched</t>
  </si>
  <si>
    <t>8 way TPN DD DB</t>
  </si>
  <si>
    <t>DC Gland DBW-010 Cbl OD 46.0 TO 52.0 MM,</t>
  </si>
  <si>
    <t>Surplus 16.00 Nos (unconsumed stock)</t>
  </si>
  <si>
    <t>Street Light Pole</t>
  </si>
  <si>
    <t>Surplus 22.00 Nos (unconsumed stock)</t>
  </si>
  <si>
    <t>Exhaust Fan</t>
  </si>
  <si>
    <t>Maintenance Free Earthing</t>
  </si>
  <si>
    <t>Surplus 20.00 Nos (unconsumed stock)</t>
  </si>
  <si>
    <t>Chemical Bags For Earthing</t>
  </si>
  <si>
    <t>Surplus 97.00 Nos (unconsumed stock)</t>
  </si>
  <si>
    <t>750 mm dia wall mount type Industrial Heavy duty fan</t>
  </si>
  <si>
    <t>Surplus 3.00 Nos (unconsumed stock)</t>
  </si>
  <si>
    <t>BBT Copper termination links</t>
  </si>
  <si>
    <t>Surplus 3.91 SET (unconsumed stock)</t>
  </si>
  <si>
    <t>Insulator with Hardware</t>
  </si>
  <si>
    <t>Surplus 1,846.00 Nos (unconsumed stock)</t>
  </si>
  <si>
    <t>Cbl 2.5 sq mm x 3C Cu flexible</t>
  </si>
  <si>
    <t>Surplus 393.00 M (unconsumed stock)</t>
  </si>
  <si>
    <t>MCB 32A 1P</t>
  </si>
  <si>
    <t>BATTERY</t>
  </si>
  <si>
    <t>Wire 4 Sq MM X 1C CU Flex.</t>
  </si>
  <si>
    <t>Surplus 1,000.00 M (unconsumed stock)</t>
  </si>
  <si>
    <t>Junction box</t>
  </si>
  <si>
    <t>Surplus 303.00 Nos (unconsumed stock)</t>
  </si>
  <si>
    <t>CHAMBER &amp; COVER</t>
  </si>
  <si>
    <t>Surplus 53.00 Nos (unconsumed stock)</t>
  </si>
  <si>
    <t>Cbl 6 SQ MM X 4C Cu. ARM</t>
  </si>
  <si>
    <t>Surplus 188.00 M (unconsumed stock)</t>
  </si>
  <si>
    <t>Cbl 10 Sq MM X 4C Cu. ARM</t>
  </si>
  <si>
    <t>Surplus 118.00 M (unconsumed stock)</t>
  </si>
  <si>
    <t>BBT Straight Feeder</t>
  </si>
  <si>
    <t>Surplus 20.92 M (unconsumed stock)</t>
  </si>
  <si>
    <t>BBT Copper or Aluminium termination links</t>
  </si>
  <si>
    <t>BBT Copper Flexible</t>
  </si>
  <si>
    <t>Surplus 4.00 SET (unconsumed stock)</t>
  </si>
  <si>
    <t>Wire 1.5 Sq MM X 1C Cu. Flexi.</t>
  </si>
  <si>
    <t>Surplus 8,400.00 M (unconsumed stock)</t>
  </si>
  <si>
    <t>LTG Lighting Fixture</t>
  </si>
  <si>
    <t>SHORTAGE — sold 34.00 Nos more than purchased</t>
  </si>
  <si>
    <t>Wire 1C X 2.5 SQ MM CU Flex.</t>
  </si>
  <si>
    <t>Surplus 6,000.00 M (unconsumed stock)</t>
  </si>
  <si>
    <t>Circuit Wire</t>
  </si>
  <si>
    <t>SHORTAGE — sold 8,844.34 M more than purchased</t>
  </si>
  <si>
    <t>BBT Plug in hole for Bus bar</t>
  </si>
  <si>
    <t>Surplus 132.00 Nos (unconsumed stock)</t>
  </si>
  <si>
    <t>MS Steel In - (Kg)</t>
  </si>
  <si>
    <t>kg</t>
  </si>
  <si>
    <t>Surplus 3,902.25 kg (unconsumed stock)</t>
  </si>
  <si>
    <t>Wire 1 Sq MM X 1C CU Flex.</t>
  </si>
  <si>
    <t>Surplus 26,700.00 M (unconsumed stock)</t>
  </si>
  <si>
    <t>Cable Gland with Hood</t>
  </si>
  <si>
    <t>Surplus 1,208.00 SET (unconsumed stock)</t>
  </si>
  <si>
    <t>Electrical Panel</t>
  </si>
  <si>
    <t>MCB</t>
  </si>
  <si>
    <t>Surplus 1,620.00 Nos (unconsumed stock)</t>
  </si>
  <si>
    <t>Notes:</t>
  </si>
  <si>
    <t>1. "FY25-26 Purchase/Sales Qty" is compiled from Zoho Books' Item Transactions tab for each item — the full list of every Sales Invoice and Purchase Bill in which that item appears — fetched live in Sep-2026 and filtered to 01-04-2025 to 31-03-2026 by invoice/bill date. Multiple line entries of the same item on one invoice/bill are summed into a single row per document.</t>
  </si>
  <si>
    <t>2. This replaces an earlier draft that used Zoho's FIFO Cost Lot Tracking report; that report was found to under-report quantities for at least one invoice (confirmed by the client) because it silently drops dispersals matched against purchase lots outside the queried item/date window. The Item Transactions figures above were cross-checked against the client-supplied "Sales by Item" report (item-wise totals exported directly from Zoho Books) and against the client's own sample reconciliation sheets, and matched exactly.</t>
  </si>
  <si>
    <t>3. "Closing Stock on Hand" and "Inventory Value" (31-03-2026) are taken as-is from the Inventory_Valuation_Summary file supplied by the client.</t>
  </si>
  <si>
    <t>4. A SHORTAGE flag means more quantity was invoiced to customers than was received via purchase bills for that item within FY25-26 — this is the classic signature of an unbooked/late purchase bill (see the Oct-2025 D K Enterprise case found separately in this audit) or, less commonly, of stock issued from opening/prior-year stock rather than FY25-26 purchases.</t>
  </si>
  <si>
    <t>5. Click an item name to jump to its Sales-Invoice-vs-Purchase-Bill detail sheet.</t>
  </si>
  <si>
    <t>1. BBT Tap Off Box (Bus Plug)  (Unit: Nos)</t>
  </si>
  <si>
    <t>&lt;&lt; Back to Summary</t>
  </si>
  <si>
    <t>FY 2025-26 (01-04-2025 to 31-03-2026) — Sales Invoice Qty vs Purchase Bill Qty, per Zoho Books Item Transactions tab</t>
  </si>
  <si>
    <t>Sales Invoice No.</t>
  </si>
  <si>
    <t>Customer</t>
  </si>
  <si>
    <t>Sales Invoice Qty</t>
  </si>
  <si>
    <t>Purchase Bill No.</t>
  </si>
  <si>
    <t>Vendor</t>
  </si>
  <si>
    <t>Purchase Qty</t>
  </si>
  <si>
    <t>INV-2526163</t>
  </si>
  <si>
    <t>LANTEC INDUSTRIES PRIVATE LIMITED</t>
  </si>
  <si>
    <t>AA2450002266</t>
  </si>
  <si>
    <t>SCHNEIDER ELECTRIC INDIA PVT.LTD. - GJ</t>
  </si>
  <si>
    <t>INV-2526310</t>
  </si>
  <si>
    <t>JSW MG MOTOR INDIA PRIVATE LIMITED</t>
  </si>
  <si>
    <t>AA2450002903</t>
  </si>
  <si>
    <t>INV-2526291</t>
  </si>
  <si>
    <t>SPPL25-26/4713</t>
  </si>
  <si>
    <t>SHREE LIGHT POWER PVT LTD</t>
  </si>
  <si>
    <t>AA2450002665</t>
  </si>
  <si>
    <t>TOTAL</t>
  </si>
  <si>
    <t>Balance (Purchase - Sales)</t>
  </si>
  <si>
    <t>2. Cbl 95 sq mm x 1C Cu flexible  (Unit: M)</t>
  </si>
  <si>
    <t>INV-2526253</t>
  </si>
  <si>
    <t>IVP-00397</t>
  </si>
  <si>
    <t>Green Electricals Pvt. Ltd.</t>
  </si>
  <si>
    <t>INV-2526432</t>
  </si>
  <si>
    <t>BRDW25260540</t>
  </si>
  <si>
    <t>A R ELECTRO POWER PRIVATE LIMITED</t>
  </si>
  <si>
    <t>INV-2526252</t>
  </si>
  <si>
    <t>INV-2526292</t>
  </si>
  <si>
    <t>INV-2526188</t>
  </si>
  <si>
    <t>M D INDUSTRIES</t>
  </si>
  <si>
    <t>3. MS Steel - (Ton)  (Unit: Ton)</t>
  </si>
  <si>
    <t>386</t>
  </si>
  <si>
    <t>MEHSANA STEEL CENTRE</t>
  </si>
  <si>
    <t>INV-2526282</t>
  </si>
  <si>
    <t>STYRENIX PERFORMANCE MATERIALS LIMITED</t>
  </si>
  <si>
    <t>14558/25-26</t>
  </si>
  <si>
    <t>ATMIYA ISPAT</t>
  </si>
  <si>
    <t>INV-2526311</t>
  </si>
  <si>
    <t>INV-2526371</t>
  </si>
  <si>
    <t>INV-2526220</t>
  </si>
  <si>
    <t>4. BBT End feed box bus bar  (Unit: Nos)</t>
  </si>
  <si>
    <t>INV-2526142</t>
  </si>
  <si>
    <t>AKSHAR ELECINFRA PRIVATE LIMITED</t>
  </si>
  <si>
    <t>EES/25-26/24</t>
  </si>
  <si>
    <t>EVERGREEN ELECTRICAL SERVICES</t>
  </si>
  <si>
    <t>INV-2526322</t>
  </si>
  <si>
    <t>JAYNIX ENGINEERING PVT LTD</t>
  </si>
  <si>
    <t>EES/25-26/49</t>
  </si>
  <si>
    <t>INV-2526051</t>
  </si>
  <si>
    <t>AKSHAR ELECTRIC PANEL BOARDS PRIVATE LIMITED</t>
  </si>
  <si>
    <t>EES/25-26/13</t>
  </si>
  <si>
    <t>INV-2526224</t>
  </si>
  <si>
    <t>GUJARAT FLUOROCHEMICALS LIMITED</t>
  </si>
  <si>
    <t>AA2450002716</t>
  </si>
  <si>
    <t>INV-2526223</t>
  </si>
  <si>
    <t>EES/25-26/30</t>
  </si>
  <si>
    <t>INV-2526143</t>
  </si>
  <si>
    <t>EES/25-26/37</t>
  </si>
  <si>
    <t>INV-2526152</t>
  </si>
  <si>
    <t>EES/25-26/45</t>
  </si>
  <si>
    <t>EES/25-26/52</t>
  </si>
  <si>
    <t>INV-2526225</t>
  </si>
  <si>
    <t>POSITRONICS PRIVATE LIMITED</t>
  </si>
  <si>
    <t>EES/25-26/55</t>
  </si>
  <si>
    <t>INV-2526271</t>
  </si>
  <si>
    <t>EES/25-26/62</t>
  </si>
  <si>
    <t>INV-2526337</t>
  </si>
  <si>
    <t>EES/25-26/81</t>
  </si>
  <si>
    <t>INV-2526452</t>
  </si>
  <si>
    <t>5. Cbl 16sqmm X 4Core Cu. Arm  (Unit: M)</t>
  </si>
  <si>
    <t>INV-2526088</t>
  </si>
  <si>
    <t>KRYFS TRANSFORMERS PRIVATE LIMITED</t>
  </si>
  <si>
    <t>GST-0972/25-26</t>
  </si>
  <si>
    <t>GOLDEN CABLE CORPORATION</t>
  </si>
  <si>
    <t>INV-2526206</t>
  </si>
  <si>
    <t>ME/08021/25-26</t>
  </si>
  <si>
    <t>MAHENDRA ELECTRICALS</t>
  </si>
  <si>
    <t>INV-2526161</t>
  </si>
  <si>
    <t>ARKEL ELECTRONIC INDIA PRIVATE LIMITED</t>
  </si>
  <si>
    <t>6. Cbl 35 sq mm X 1C cu flexible  (Unit: M)</t>
  </si>
  <si>
    <t>435/25-26</t>
  </si>
  <si>
    <t>GUNJA SALES</t>
  </si>
  <si>
    <t>INV-2526297</t>
  </si>
  <si>
    <t>Nirchem Dyes and Chemicals Private Limited</t>
  </si>
  <si>
    <t>448/25-26</t>
  </si>
  <si>
    <t>INV-2526329</t>
  </si>
  <si>
    <t>7. Cable Tray 50 MM  (Unit: M)</t>
  </si>
  <si>
    <t>INV-2526323</t>
  </si>
  <si>
    <t>MMEI/25-26/308</t>
  </si>
  <si>
    <t>MM Engineering Industries Private Limited</t>
  </si>
  <si>
    <t>INV-2526092</t>
  </si>
  <si>
    <t>LINK COMPOSITES PRIVATE LIMITED</t>
  </si>
  <si>
    <t>3151/25-26</t>
  </si>
  <si>
    <t>Zaral Electricals</t>
  </si>
  <si>
    <t>INV-2526268</t>
  </si>
  <si>
    <t>8273/25-26</t>
  </si>
  <si>
    <t>INV-2526345</t>
  </si>
  <si>
    <t>157</t>
  </si>
  <si>
    <t>TAXALT ENGINEERING AND CONSTRUCTION</t>
  </si>
  <si>
    <t>INV-2526451</t>
  </si>
  <si>
    <t>Tata Advanced Systems Limited</t>
  </si>
  <si>
    <t>MMEI/25-26/01</t>
  </si>
  <si>
    <t>INV-2526015</t>
  </si>
  <si>
    <t>7232/25-26</t>
  </si>
  <si>
    <t>INV-2526023</t>
  </si>
  <si>
    <t>MMEI/25-26/44</t>
  </si>
  <si>
    <t>INV-2526380</t>
  </si>
  <si>
    <t>MMEI/25-26/74</t>
  </si>
  <si>
    <t>INV-2526036</t>
  </si>
  <si>
    <t>INV-2526066</t>
  </si>
  <si>
    <t>8. Insulating Rubber Mat 1100 Volt Grade  (Unit: M)</t>
  </si>
  <si>
    <t>INV-2526412</t>
  </si>
  <si>
    <t>SANDVIK MINING AND ROCK TECHNOLOGY INDIA PRIVATE LIMITED</t>
  </si>
  <si>
    <t>603/25-26</t>
  </si>
  <si>
    <t>INV-2526232</t>
  </si>
  <si>
    <t>INV-2526326</t>
  </si>
  <si>
    <t>9. Cbl HT End Termination  (Unit: Nos)</t>
  </si>
  <si>
    <t>INV-2526373</t>
  </si>
  <si>
    <t>000728/25-26</t>
  </si>
  <si>
    <t>SIDDHANT ENTERPRISE</t>
  </si>
  <si>
    <t>INV-2526350</t>
  </si>
  <si>
    <t>MARUTI KOATSU CYLINDERS LTD</t>
  </si>
  <si>
    <t>000766/25-26</t>
  </si>
  <si>
    <t>INV-2526002</t>
  </si>
  <si>
    <t>Bansal Roofing Products Ltd</t>
  </si>
  <si>
    <t>25-26/158</t>
  </si>
  <si>
    <t>DEEPDEAL ELECTRICALS PRIVATE LIMITED</t>
  </si>
  <si>
    <t>16</t>
  </si>
  <si>
    <t>3S SALES CORPORATION</t>
  </si>
  <si>
    <t>10. Cbl 6 sq mm X 1C cu flexible cable  (Unit: M)</t>
  </si>
  <si>
    <t>INV-2526147</t>
  </si>
  <si>
    <t>BRDW25260539</t>
  </si>
  <si>
    <t>11. 50 mm G.I Flexible conduit with PVC coating  (Unit: M)</t>
  </si>
  <si>
    <t>INV-2526257</t>
  </si>
  <si>
    <t>6796/25-26</t>
  </si>
  <si>
    <t>INV-2526258</t>
  </si>
  <si>
    <t>9991/25-26</t>
  </si>
  <si>
    <t>INV-2526430</t>
  </si>
  <si>
    <t>12. Cbl 1.5 sq mm x 3C Cu flexible  (Unit: M)</t>
  </si>
  <si>
    <t>INV-2526149</t>
  </si>
  <si>
    <t>IVR-06009</t>
  </si>
  <si>
    <t>INV-2526274</t>
  </si>
  <si>
    <t>IVR-06677</t>
  </si>
  <si>
    <t>GST-2102/25-26</t>
  </si>
  <si>
    <t>INV-2526125</t>
  </si>
  <si>
    <t>T-2746/25-26</t>
  </si>
  <si>
    <t>URMI ELECTRICALS</t>
  </si>
  <si>
    <t>INV-2526146</t>
  </si>
  <si>
    <t>MARSMAN INDIA LTD</t>
  </si>
  <si>
    <t>DSLV-26003635</t>
  </si>
  <si>
    <t>R R KABEL LIMITED - DNH</t>
  </si>
  <si>
    <t>INV-2526216</t>
  </si>
  <si>
    <t>REHAU POLYMERS PRIVATE LIMITED</t>
  </si>
  <si>
    <t>GST-1555/25-26</t>
  </si>
  <si>
    <t>NE001790/BRD</t>
  </si>
  <si>
    <t>SHREE NM ELECTRICALS LTD.</t>
  </si>
  <si>
    <t>INV-2526379</t>
  </si>
  <si>
    <t>GST-2313/25-26</t>
  </si>
  <si>
    <t>INV-2526158</t>
  </si>
  <si>
    <t>25-26/4485</t>
  </si>
  <si>
    <t>T-1848/25-26</t>
  </si>
  <si>
    <t>INV-2526416</t>
  </si>
  <si>
    <t>GST-2825/25-26</t>
  </si>
  <si>
    <t>INV-2526433</t>
  </si>
  <si>
    <t>T-1700/25-26</t>
  </si>
  <si>
    <t>25-26/4446</t>
  </si>
  <si>
    <t>ME/01349/25-26</t>
  </si>
  <si>
    <t>RKMG ELECTRICALS PRIVATE LIMITED</t>
  </si>
  <si>
    <t>13. BBT Hanger  (Unit: Nos)</t>
  </si>
  <si>
    <t>AA2750151045</t>
  </si>
  <si>
    <t>EES/25-26/29</t>
  </si>
  <si>
    <t>AA2450002721</t>
  </si>
  <si>
    <t>14. Fastner's  (Unit: Nos)</t>
  </si>
  <si>
    <t>8974</t>
  </si>
  <si>
    <t>SHIV SUPPLY COMPANY</t>
  </si>
  <si>
    <t>10670</t>
  </si>
  <si>
    <t>7601</t>
  </si>
  <si>
    <t>INV-2526236</t>
  </si>
  <si>
    <t>6258</t>
  </si>
  <si>
    <t>7987</t>
  </si>
  <si>
    <t>5320</t>
  </si>
  <si>
    <t>GST-02497/25-26</t>
  </si>
  <si>
    <t>Shree Laxmi Industrial Electric</t>
  </si>
  <si>
    <t>5578</t>
  </si>
  <si>
    <t>7841</t>
  </si>
  <si>
    <t>7395</t>
  </si>
  <si>
    <t>RIS/25-26/106</t>
  </si>
  <si>
    <t>Raja Industrial Stationery</t>
  </si>
  <si>
    <t>3109</t>
  </si>
  <si>
    <t>NAREN HARDWARE ANDTOOLS</t>
  </si>
  <si>
    <t>2370</t>
  </si>
  <si>
    <t>1339</t>
  </si>
  <si>
    <t>RIS/25-26/428</t>
  </si>
  <si>
    <t>RIS/25-26/1022</t>
  </si>
  <si>
    <t>GST-03395/25-26</t>
  </si>
  <si>
    <t>RIS/25-26/548</t>
  </si>
  <si>
    <t>RIS/25-26/765</t>
  </si>
  <si>
    <t>15. Cbl 4 sq mm X 5C Cu arm  (Unit: M)</t>
  </si>
  <si>
    <t>IVP-00396</t>
  </si>
  <si>
    <t>BRDC25260307</t>
  </si>
  <si>
    <t>A.R.ENTERPRISE</t>
  </si>
  <si>
    <t>16. Cbl 4 Sq MM X 4C SQ MM Cu. flexible  (Unit: M)</t>
  </si>
  <si>
    <t>NE000848/BRD</t>
  </si>
  <si>
    <t>NE001726/BRD</t>
  </si>
  <si>
    <t>GST-2256/25-26</t>
  </si>
  <si>
    <t>GST-2395/25-26</t>
  </si>
  <si>
    <t>25-26/2879</t>
  </si>
  <si>
    <t>17. CONTACTOR  (Unit: Nos)</t>
  </si>
  <si>
    <t>INV-2526171</t>
  </si>
  <si>
    <t>GST-2011/25-26</t>
  </si>
  <si>
    <t>JAY SALES CORPORATION</t>
  </si>
  <si>
    <t>INV-2526172</t>
  </si>
  <si>
    <t>GST-2602/25-26</t>
  </si>
  <si>
    <t>INV-2526277</t>
  </si>
  <si>
    <t>GST-2878/25-26</t>
  </si>
  <si>
    <t>INV-2526105</t>
  </si>
  <si>
    <t>GST-2423/25-26</t>
  </si>
  <si>
    <t>INV-2526316</t>
  </si>
  <si>
    <t>INV-2526394</t>
  </si>
  <si>
    <t>INV-2526240</t>
  </si>
  <si>
    <t>18. Cbl 1.5 sq mm x 4C Cu flexible  (Unit: M)</t>
  </si>
  <si>
    <t>INV-2526096</t>
  </si>
  <si>
    <t>NE002152/BRD</t>
  </si>
  <si>
    <t>INV-2526180</t>
  </si>
  <si>
    <t>IVR-05619</t>
  </si>
  <si>
    <t>INV-2526317</t>
  </si>
  <si>
    <t>NE001592/BRD</t>
  </si>
  <si>
    <t>INV-2526336</t>
  </si>
  <si>
    <t>ME/01414/25-26</t>
  </si>
  <si>
    <t>INV-2526429</t>
  </si>
  <si>
    <t>19. 6 sq mm Cu flexible green wire for earthing Termination  (Unit: Nos)</t>
  </si>
  <si>
    <t>20. 25X3 MM Cu. earthing strips  (Unit: M)</t>
  </si>
  <si>
    <t>INV-2526069</t>
  </si>
  <si>
    <t>326/25-26</t>
  </si>
  <si>
    <t>SHRINATHJI METAL CORPORATION</t>
  </si>
  <si>
    <t>3152/25-26</t>
  </si>
  <si>
    <t>INV-2526226</t>
  </si>
  <si>
    <t>AMCOR FLEXIBLES INDIA PVT LTD</t>
  </si>
  <si>
    <t>787/25-26</t>
  </si>
  <si>
    <t>INV-2526217</t>
  </si>
  <si>
    <t>762/25-26</t>
  </si>
  <si>
    <t>INV-2526035</t>
  </si>
  <si>
    <t>122/25-26</t>
  </si>
  <si>
    <t>21. 8 SWG GI wire  (Unit: M)</t>
  </si>
  <si>
    <t>25/25-26</t>
  </si>
  <si>
    <t>INV-2526024</t>
  </si>
  <si>
    <t>6998/25-26</t>
  </si>
  <si>
    <t>22. PG Gland PG-11 Cbl OD 05.0 TO 10.0 MM,  (Unit: Nos)</t>
  </si>
  <si>
    <t>T-325/25-26</t>
  </si>
  <si>
    <t>T-84/25-26</t>
  </si>
  <si>
    <t>23. DC Gland DBW-02 Cbl OD 18.5 TO 20.0MM,  (Unit: Nos)</t>
  </si>
  <si>
    <t>T-823/25-26</t>
  </si>
  <si>
    <t>24. MCB 20A 1P  (Unit: Nos)</t>
  </si>
  <si>
    <t>IN/25-26/13252</t>
  </si>
  <si>
    <t>SHREEJI ELECTRO POWER PRIVATE LIMITED</t>
  </si>
  <si>
    <t>25. DC Gland DBW-09 Cbl OD 36.6 - 44.5 MM,  (Unit: Nos)</t>
  </si>
  <si>
    <t>T-1020/25-26</t>
  </si>
  <si>
    <t>26. DC Gland DBW-07 Cbl OD 30.0 TO 37.0 MM,  (Unit: Nos)</t>
  </si>
  <si>
    <t>27. MCB 40A 4P  (Unit: nos)</t>
  </si>
  <si>
    <t>INV-2526445</t>
  </si>
  <si>
    <t>BRAWN LABORATORIES LIMITED</t>
  </si>
  <si>
    <t>SPPL25-26/6629</t>
  </si>
  <si>
    <t>28. MCB 6A 1P  (Unit: Nos)</t>
  </si>
  <si>
    <t>T-21/25-26</t>
  </si>
  <si>
    <t>29. Cable Tray Growmate  (Unit: M)</t>
  </si>
  <si>
    <t>26-2852</t>
  </si>
  <si>
    <t>2P Sales</t>
  </si>
  <si>
    <t>30. LTG Emergency Light  (Unit: Nos)</t>
  </si>
  <si>
    <t>PAL/4058/25-26</t>
  </si>
  <si>
    <t>PROLITE AUTOGLO LIMITED</t>
  </si>
  <si>
    <t>31. Vigi 63A 4P  (Unit: Nos)</t>
  </si>
  <si>
    <t>No FY25-26 Sales Invoice or Purchase Bill transactions found for this item.</t>
  </si>
  <si>
    <t>32. BBT Wall Frame Assembly  (Unit: SET)</t>
  </si>
  <si>
    <t>AA3350144933</t>
  </si>
  <si>
    <t>33. Vigi 63A 2P  (Unit: nos)</t>
  </si>
  <si>
    <t>SPPL25-26/1925</t>
  </si>
  <si>
    <t>34. RCCB 40A 2P  (Unit: Nos)</t>
  </si>
  <si>
    <t>INV-2526034</t>
  </si>
  <si>
    <t>SPPL25-26/1217</t>
  </si>
  <si>
    <t>ISL-000120</t>
  </si>
  <si>
    <t>TECHNO SALES AGENCY</t>
  </si>
  <si>
    <t>35. Lightning Arrester  (Unit: SET)</t>
  </si>
  <si>
    <t>160/25-26</t>
  </si>
  <si>
    <t>INV-2526065</t>
  </si>
  <si>
    <t>T0185</t>
  </si>
  <si>
    <t>NS TRANSMISSION PVT LTD</t>
  </si>
  <si>
    <t>36. Cbl 4 SQ MM X 4C Cu. ARM  (Unit: M)</t>
  </si>
  <si>
    <t>BRDC25260327</t>
  </si>
  <si>
    <t>INV-2526235</t>
  </si>
  <si>
    <t>25-26/2915</t>
  </si>
  <si>
    <t>INV-2526231</t>
  </si>
  <si>
    <t>IVP-00382</t>
  </si>
  <si>
    <t>37. Vigi 25A 1PN  (Unit: Nos)</t>
  </si>
  <si>
    <t>SPPL25-26/1924</t>
  </si>
  <si>
    <t>38. DC Gland DBW-04 Cbl OD 23.0 TO 26.0MM  (Unit: Nos)</t>
  </si>
  <si>
    <t>T-1085/25-26</t>
  </si>
  <si>
    <t>T-1124/25-26</t>
  </si>
  <si>
    <t>39. MCB 16A 2P  (Unit: Nos)</t>
  </si>
  <si>
    <t>SPPL25-26/1957</t>
  </si>
  <si>
    <t>MP-1110/25-26</t>
  </si>
  <si>
    <t>40. Cbl 35 X 3.5C sq mm Cu Arm  (Unit: M)</t>
  </si>
  <si>
    <t>2722</t>
  </si>
  <si>
    <t>SHREE NM ENTERPRISE</t>
  </si>
  <si>
    <t>INV-2526221</t>
  </si>
  <si>
    <t>41. LV516302  (Unit: nos)</t>
  </si>
  <si>
    <t>SPPL25-26/4500</t>
  </si>
  <si>
    <t>42. 12 way SPN DD DB  (Unit: Nos)</t>
  </si>
  <si>
    <t>ISL-000110</t>
  </si>
  <si>
    <t>INV-2526095</t>
  </si>
  <si>
    <t>43. BBT End cover for bus bar  (Unit: Nos)</t>
  </si>
  <si>
    <t>INV-2526456</t>
  </si>
  <si>
    <t>Nirmal Poly Plast Private Limited</t>
  </si>
  <si>
    <t>AA2460000265</t>
  </si>
  <si>
    <t>44. 50X6 MM HDGI earthing strips  (Unit: M)</t>
  </si>
  <si>
    <t>SAL-0746</t>
  </si>
  <si>
    <t>GREEN ENERZON PVT LTD</t>
  </si>
  <si>
    <t>INV-2526444</t>
  </si>
  <si>
    <t>Syncomp Materials India Pvt Ltd</t>
  </si>
  <si>
    <t>RRPT/25-26/955</t>
  </si>
  <si>
    <t>RAJ RATAN POWER TRANSMISSION</t>
  </si>
  <si>
    <t>INV-2526320</t>
  </si>
  <si>
    <t>RRPT/25-26/770</t>
  </si>
  <si>
    <t>INV-2526319</t>
  </si>
  <si>
    <t>RRPT/25-26/440</t>
  </si>
  <si>
    <t>332/25-26</t>
  </si>
  <si>
    <t>19/25-26</t>
  </si>
  <si>
    <t>8275/25-26</t>
  </si>
  <si>
    <t>45. Vigi 16A 1PN  (Unit: Nos)</t>
  </si>
  <si>
    <t>46. Spreader  (Unit: SET)</t>
  </si>
  <si>
    <t>47. 08 way VTPN DD DB  (Unit: Nos)</t>
  </si>
  <si>
    <t>SPPL25-26/2951</t>
  </si>
  <si>
    <t>48. 12 way TPN DD DB  (Unit: Nos)</t>
  </si>
  <si>
    <t>49. BBT Canopy  (Unit: M)</t>
  </si>
  <si>
    <t>INV-2526263</t>
  </si>
  <si>
    <t>EES/25-26/44</t>
  </si>
  <si>
    <t>50. Conector  (Unit: Nos)</t>
  </si>
  <si>
    <t>INV-2526097</t>
  </si>
  <si>
    <t>41</t>
  </si>
  <si>
    <t>INV-2526075</t>
  </si>
  <si>
    <t>29</t>
  </si>
  <si>
    <t>INV-2526074</t>
  </si>
  <si>
    <t>30</t>
  </si>
  <si>
    <t>INV-2526109</t>
  </si>
  <si>
    <t>52</t>
  </si>
  <si>
    <t>INV-2526107</t>
  </si>
  <si>
    <t>47</t>
  </si>
  <si>
    <t>INV-2526106</t>
  </si>
  <si>
    <t>46</t>
  </si>
  <si>
    <t>INV-2526108</t>
  </si>
  <si>
    <t>51</t>
  </si>
  <si>
    <t>T-1513/25-26</t>
  </si>
  <si>
    <t>93</t>
  </si>
  <si>
    <t>Electro Sales Corporation</t>
  </si>
  <si>
    <t>51. Earthing Pit Material  (Unit: SET)</t>
  </si>
  <si>
    <t>INV-2526246</t>
  </si>
  <si>
    <t>803/25-26</t>
  </si>
  <si>
    <t>INV-2526245</t>
  </si>
  <si>
    <t>837/25-26</t>
  </si>
  <si>
    <t>3385/25-26</t>
  </si>
  <si>
    <t>BRD/478/25-26</t>
  </si>
  <si>
    <t>ETP EARTHING &amp; LPS SOLUTION PRIVATE LIMITED</t>
  </si>
  <si>
    <t>INV-2526281</t>
  </si>
  <si>
    <t>T2302/25-26</t>
  </si>
  <si>
    <t>POWER-GRID SWITCHGEARS PRIVATE LIMITED</t>
  </si>
  <si>
    <t>INV-2526148</t>
  </si>
  <si>
    <t>4467/25-26</t>
  </si>
  <si>
    <t>E1339</t>
  </si>
  <si>
    <t>E LINK ENTERPRISE</t>
  </si>
  <si>
    <t>INV-2526134</t>
  </si>
  <si>
    <t>ZARAL ELECTRICALS</t>
  </si>
  <si>
    <t>404/25-26</t>
  </si>
  <si>
    <t>SANKHARI ENTERPRISES</t>
  </si>
  <si>
    <t>276/25-26</t>
  </si>
  <si>
    <t>287</t>
  </si>
  <si>
    <t>SPARX TECHNO ENGINEERS</t>
  </si>
  <si>
    <t>INV-2526133</t>
  </si>
  <si>
    <t>8112/25-26</t>
  </si>
  <si>
    <t>INV-2526207</t>
  </si>
  <si>
    <t>9087/25-26</t>
  </si>
  <si>
    <t>INV-2526333</t>
  </si>
  <si>
    <t>BRD/596/25-26</t>
  </si>
  <si>
    <t>9603/25-26</t>
  </si>
  <si>
    <t>INV-2526381</t>
  </si>
  <si>
    <t>INV-2526406</t>
  </si>
  <si>
    <t>52. 6 WAY TPN DD DB  (Unit: Nos)</t>
  </si>
  <si>
    <t>INV-2526073</t>
  </si>
  <si>
    <t>HYPERION CHARGERS PRIVATE LIMITED</t>
  </si>
  <si>
    <t>2501396</t>
  </si>
  <si>
    <t>ACTIVE ENTERPRISE</t>
  </si>
  <si>
    <t>53. 25X3 mm HDGI earthing strips  (Unit: M)</t>
  </si>
  <si>
    <t>214/25-26</t>
  </si>
  <si>
    <t>RRPT/25-26/799</t>
  </si>
  <si>
    <t>54. Junction Box With terminal size - 98 x 98 x 61 mm  (Unit: Nos)</t>
  </si>
  <si>
    <t>AVT/25-26/029</t>
  </si>
  <si>
    <t>AV TECNOLOGIES</t>
  </si>
  <si>
    <t>INV-2526115</t>
  </si>
  <si>
    <t>AVT/25-26/033</t>
  </si>
  <si>
    <t>AVT/25-26/066</t>
  </si>
  <si>
    <t>INV-2526387</t>
  </si>
  <si>
    <t>AVT/25-26/065</t>
  </si>
  <si>
    <t>55. RCCB 25A 4P  (Unit: Nos)</t>
  </si>
  <si>
    <t>T-1194/25-26</t>
  </si>
  <si>
    <t>56. DC Gland DBW-012 Cbl OD 61.0 TO 66.0 MM,  (Unit: Nos)</t>
  </si>
  <si>
    <t>T-800/25-26</t>
  </si>
  <si>
    <t>57. Cbl 70 sq mm X 1C cu flexible  (Unit: M)</t>
  </si>
  <si>
    <t>25-26/5455</t>
  </si>
  <si>
    <t>GST-1346/25-26</t>
  </si>
  <si>
    <t>58. RCCB 40A 2P  (Unit: Nos)</t>
  </si>
  <si>
    <t>59. 32A 3P+N+E Plug  (Unit: Nos)</t>
  </si>
  <si>
    <t>SPPL25-26/6393</t>
  </si>
  <si>
    <t>60. MCB 32A 4P  (Unit: Nos)</t>
  </si>
  <si>
    <t>GST-3919/25-26</t>
  </si>
  <si>
    <t>61. BBT 90 Deg Elbow  (Unit: Nos)</t>
  </si>
  <si>
    <t>INV-2526139</t>
  </si>
  <si>
    <t>AA2450002169</t>
  </si>
  <si>
    <t>AA2450001300</t>
  </si>
  <si>
    <t>INV-2526411</t>
  </si>
  <si>
    <t>AA2460000140</t>
  </si>
  <si>
    <t>AA2450002668</t>
  </si>
  <si>
    <t>INV-2526033</t>
  </si>
  <si>
    <t>DEEPAK NITRITE LIMITED</t>
  </si>
  <si>
    <t>AA3350135171</t>
  </si>
  <si>
    <t>INV-2526285</t>
  </si>
  <si>
    <t>AA2450001215</t>
  </si>
  <si>
    <t>AA2450002838</t>
  </si>
  <si>
    <t>AA2460000139</t>
  </si>
  <si>
    <t>AA2450001456</t>
  </si>
  <si>
    <t>AA2450002722</t>
  </si>
  <si>
    <t>62. Threaded Rod  (Unit: M)</t>
  </si>
  <si>
    <t>10788/25-26</t>
  </si>
  <si>
    <t>63. MCB 10A 1P  (Unit: nos)</t>
  </si>
  <si>
    <t>INV-2526039</t>
  </si>
  <si>
    <t>13</t>
  </si>
  <si>
    <t>64. 8 way TPN DD DB  (Unit: Nos)</t>
  </si>
  <si>
    <t>65. DC Gland DBW-010 Cbl OD 46.0 TO 52.0 MM,  (Unit: Nos)</t>
  </si>
  <si>
    <t>66. Street Light Pole  (Unit: Nos)</t>
  </si>
  <si>
    <t>INV-2526343</t>
  </si>
  <si>
    <t>G/0526</t>
  </si>
  <si>
    <t>FABIRON ENGINEERS PVT LTD</t>
  </si>
  <si>
    <t>G/0124</t>
  </si>
  <si>
    <t>FAB ENGINEERS</t>
  </si>
  <si>
    <t>G/0273</t>
  </si>
  <si>
    <t>G/0025</t>
  </si>
  <si>
    <t>G/0274</t>
  </si>
  <si>
    <t>INV-2526193</t>
  </si>
  <si>
    <t>T/246</t>
  </si>
  <si>
    <t>D K ENTERPRISE</t>
  </si>
  <si>
    <t>INV-2526341</t>
  </si>
  <si>
    <t>67. Exhaust Fan  (Unit: Nos)</t>
  </si>
  <si>
    <t>T/342</t>
  </si>
  <si>
    <t>INV-2526094</t>
  </si>
  <si>
    <t>T-2499/25-26</t>
  </si>
  <si>
    <t>097/25-26</t>
  </si>
  <si>
    <t>KESHAV NARAYAN ENTERPRISE</t>
  </si>
  <si>
    <t>552/25-26</t>
  </si>
  <si>
    <t>T/158</t>
  </si>
  <si>
    <t>INV-2526382</t>
  </si>
  <si>
    <t>T/173</t>
  </si>
  <si>
    <t>INV-2526182</t>
  </si>
  <si>
    <t>545/25-26</t>
  </si>
  <si>
    <t>T/237</t>
  </si>
  <si>
    <t>68. Maintenance Free Earthing  (Unit: Nos)</t>
  </si>
  <si>
    <t>68/25-26</t>
  </si>
  <si>
    <t>151/25-26</t>
  </si>
  <si>
    <t>1237/25-26</t>
  </si>
  <si>
    <t>Nisharp Corp</t>
  </si>
  <si>
    <t>INV-2526403</t>
  </si>
  <si>
    <t>0157/25-26</t>
  </si>
  <si>
    <t>Ashutosh Markting</t>
  </si>
  <si>
    <t>KRA/25-26/122</t>
  </si>
  <si>
    <t>KEVALRANG AGENCY</t>
  </si>
  <si>
    <t>136</t>
  </si>
  <si>
    <t>INV-2526183</t>
  </si>
  <si>
    <t>3540/25-26</t>
  </si>
  <si>
    <t>085/25-26</t>
  </si>
  <si>
    <t>69. Chemical Bags For Earthing  (Unit: Nos)</t>
  </si>
  <si>
    <t>70. 750 mm dia wall mount type Industrial Heavy duty fan  (Unit: Nos)</t>
  </si>
  <si>
    <t>INV-2526360</t>
  </si>
  <si>
    <t>BE/2869/25-26</t>
  </si>
  <si>
    <t>Bhatt Enterprise</t>
  </si>
  <si>
    <t>INV-2526359</t>
  </si>
  <si>
    <t>BE/3233/25-26</t>
  </si>
  <si>
    <t>INV-2526431</t>
  </si>
  <si>
    <t>71. BBT Copper termination links  (Unit: SET)</t>
  </si>
  <si>
    <t>72. Insulator with Hardware  (Unit: Nos)</t>
  </si>
  <si>
    <t>449/25-26</t>
  </si>
  <si>
    <t>GST-03826/25-26</t>
  </si>
  <si>
    <t>450/25-26</t>
  </si>
  <si>
    <t>73. Cbl 2.5 sq mm x 3C Cu flexible  (Unit: M)</t>
  </si>
  <si>
    <t>INV-2526111</t>
  </si>
  <si>
    <t>59</t>
  </si>
  <si>
    <t>INV-2526083</t>
  </si>
  <si>
    <t>35</t>
  </si>
  <si>
    <t>58</t>
  </si>
  <si>
    <t>GST-0940/25-26</t>
  </si>
  <si>
    <t>INV-2526112</t>
  </si>
  <si>
    <t>BRDW25260561</t>
  </si>
  <si>
    <t>T-1442/25-26</t>
  </si>
  <si>
    <t>GST-0999/25-26</t>
  </si>
  <si>
    <t>T-1853/25-26</t>
  </si>
  <si>
    <t>74. MCB 32A 1P  (Unit: Nos)</t>
  </si>
  <si>
    <t>75. BATTERY  (Unit: Nos)</t>
  </si>
  <si>
    <t>SPE/25-26/344</t>
  </si>
  <si>
    <t>S. P. ENTERPRISE</t>
  </si>
  <si>
    <t>SPE/25-26/912</t>
  </si>
  <si>
    <t>76. Wire 4 Sq MM X 1C CU Flex.  (Unit: M)</t>
  </si>
  <si>
    <t>INV-2526398</t>
  </si>
  <si>
    <t>ME/12406/25-26</t>
  </si>
  <si>
    <t>77. Junction box  (Unit: Nos)</t>
  </si>
  <si>
    <t>7833/25-26</t>
  </si>
  <si>
    <t>1879/25-26</t>
  </si>
  <si>
    <t>GST-02137/25-26</t>
  </si>
  <si>
    <t>7876/25-26</t>
  </si>
  <si>
    <t>566/25-26</t>
  </si>
  <si>
    <t>9602/25-26</t>
  </si>
  <si>
    <t>T-2162/25-26</t>
  </si>
  <si>
    <t>GST/2025-26/111</t>
  </si>
  <si>
    <t>NEXUS ENGINEERING</t>
  </si>
  <si>
    <t>INV-2526283</t>
  </si>
  <si>
    <t>TEAMP ENGINEERING SOLUTIONS PRIVATE LIMITED</t>
  </si>
  <si>
    <t>NDE/3286/2025-26</t>
  </si>
  <si>
    <t>NAVDURGA ENTERPRISE</t>
  </si>
  <si>
    <t>GST/2025-26/103</t>
  </si>
  <si>
    <t>AVT/25-26/070</t>
  </si>
  <si>
    <t>233/26-27</t>
  </si>
  <si>
    <t>HARI OM ENTERPRISES</t>
  </si>
  <si>
    <t>1454</t>
  </si>
  <si>
    <t>SHIV ELECTRICALS</t>
  </si>
  <si>
    <t>AVT/25-26/072</t>
  </si>
  <si>
    <t>INV-2526006</t>
  </si>
  <si>
    <t>2501610</t>
  </si>
  <si>
    <t>GST/2025-26/247</t>
  </si>
  <si>
    <t>SPPL25-26/2372</t>
  </si>
  <si>
    <t>GST/2025-26/628</t>
  </si>
  <si>
    <t>AVT/25-26/088</t>
  </si>
  <si>
    <t>T-4002/25-26</t>
  </si>
  <si>
    <t>T-939/25-26</t>
  </si>
  <si>
    <t>2501401</t>
  </si>
  <si>
    <t>78. CHAMBER &amp; COVER  (Unit: Nos)</t>
  </si>
  <si>
    <t>2025-26/101</t>
  </si>
  <si>
    <t>CAPITAL CONSTRUCTION</t>
  </si>
  <si>
    <t>79. Cbl 6 SQ MM X 4C Cu. ARM  (Unit: M)</t>
  </si>
  <si>
    <t>GST-1225/25-26</t>
  </si>
  <si>
    <t>80. Cbl 10 Sq MM X 4C Cu. ARM  (Unit: M)</t>
  </si>
  <si>
    <t>INV-2526194</t>
  </si>
  <si>
    <t>INV-2526196</t>
  </si>
  <si>
    <t>NE001711/BRD</t>
  </si>
  <si>
    <t>81. BBT Straight Feeder  (Unit: M)</t>
  </si>
  <si>
    <t>INV-2526400</t>
  </si>
  <si>
    <t>AA2760019035</t>
  </si>
  <si>
    <t>INV-2526340</t>
  </si>
  <si>
    <t>AA2750154706</t>
  </si>
  <si>
    <t>AA2450002228</t>
  </si>
  <si>
    <t>AA2750158411</t>
  </si>
  <si>
    <t>AA2450002666</t>
  </si>
  <si>
    <t>INV-2526181</t>
  </si>
  <si>
    <t>AA3350139776</t>
  </si>
  <si>
    <t>AA2460000266</t>
  </si>
  <si>
    <t>EES/25-26/11</t>
  </si>
  <si>
    <t>AA2460000141</t>
  </si>
  <si>
    <t>AA2450002438</t>
  </si>
  <si>
    <t>82. BBT Copper or Aluminium termination links  (Unit: Nos)</t>
  </si>
  <si>
    <t>83. BBT Copper Flexible  (Unit: SET)</t>
  </si>
  <si>
    <t>84. Wire 1.5 Sq MM X 1C Cu. Flexi.  (Unit: M)</t>
  </si>
  <si>
    <t>85. LTG Lighting Fixture  (Unit: Nos)</t>
  </si>
  <si>
    <t>P/1204/25-26</t>
  </si>
  <si>
    <t>POWER LINE</t>
  </si>
  <si>
    <t>T/227</t>
  </si>
  <si>
    <t>P/0001/25-26</t>
  </si>
  <si>
    <t>34</t>
  </si>
  <si>
    <t>P/0658/25-26</t>
  </si>
  <si>
    <t>P/1687/25-26</t>
  </si>
  <si>
    <t>INV-2526082</t>
  </si>
  <si>
    <t>T/144</t>
  </si>
  <si>
    <t>P/0752/25-26</t>
  </si>
  <si>
    <t>INV-2526038</t>
  </si>
  <si>
    <t>P/0849/25-26</t>
  </si>
  <si>
    <t>P/1859/25-26</t>
  </si>
  <si>
    <t>T/236</t>
  </si>
  <si>
    <t>INV-2526116</t>
  </si>
  <si>
    <t>P/1287/25-26</t>
  </si>
  <si>
    <t>1142</t>
  </si>
  <si>
    <t>VEDEE ASSOCIATES</t>
  </si>
  <si>
    <t>INV-2526414</t>
  </si>
  <si>
    <t>T/101</t>
  </si>
  <si>
    <t>INV-2526334</t>
  </si>
  <si>
    <t>GST25/6067</t>
  </si>
  <si>
    <t>SMIT ENTERPRISE</t>
  </si>
  <si>
    <t>INV-2526264</t>
  </si>
  <si>
    <t>P/2447/25-26</t>
  </si>
  <si>
    <t>P/2920/25-26</t>
  </si>
  <si>
    <t>073</t>
  </si>
  <si>
    <t>GANESH ELECTRICALS</t>
  </si>
  <si>
    <t>INV-2526367</t>
  </si>
  <si>
    <t>P/2150/25-26</t>
  </si>
  <si>
    <t>T-3514/25-26</t>
  </si>
  <si>
    <t>P/0163/25-26</t>
  </si>
  <si>
    <t>P/2687/25-26</t>
  </si>
  <si>
    <t>P/2010/25-26</t>
  </si>
  <si>
    <t>INV-2526080</t>
  </si>
  <si>
    <t>INV-2526079</t>
  </si>
  <si>
    <t>P/1770/25-26</t>
  </si>
  <si>
    <t>INV-2526314</t>
  </si>
  <si>
    <t>Satyendra Packaging Limited</t>
  </si>
  <si>
    <t>P/2617/25-26</t>
  </si>
  <si>
    <t>P/1286/25-26</t>
  </si>
  <si>
    <t>T/328</t>
  </si>
  <si>
    <t>INV-2526344</t>
  </si>
  <si>
    <t>P/2299/25-26</t>
  </si>
  <si>
    <t>INV-2526014</t>
  </si>
  <si>
    <t>P/2943/25-26</t>
  </si>
  <si>
    <t>INV-2526119</t>
  </si>
  <si>
    <t>P/3918/25-26</t>
  </si>
  <si>
    <t>INV-2526287</t>
  </si>
  <si>
    <t>T-1096/25-26</t>
  </si>
  <si>
    <t>INV-2526315</t>
  </si>
  <si>
    <t>32</t>
  </si>
  <si>
    <t>31</t>
  </si>
  <si>
    <t>INV-2526355</t>
  </si>
  <si>
    <t>P/1969/25-26</t>
  </si>
  <si>
    <t>INV-2526354</t>
  </si>
  <si>
    <t>P/3058/25-26</t>
  </si>
  <si>
    <t>INV-2526356</t>
  </si>
  <si>
    <t>P/3213/25-26</t>
  </si>
  <si>
    <t>T/112</t>
  </si>
  <si>
    <t>INV-2526237</t>
  </si>
  <si>
    <t>P/1676/25-26</t>
  </si>
  <si>
    <t>INV-2526388</t>
  </si>
  <si>
    <t>1256</t>
  </si>
  <si>
    <t>INV-2526255</t>
  </si>
  <si>
    <t>T/291</t>
  </si>
  <si>
    <t>T-3997/25-26</t>
  </si>
  <si>
    <t>P/0280/25-26</t>
  </si>
  <si>
    <t>P/1513/25-26</t>
  </si>
  <si>
    <t>P/2264/25-26</t>
  </si>
  <si>
    <t>P/2872/25-26</t>
  </si>
  <si>
    <t>P/3057/25-26</t>
  </si>
  <si>
    <t>T/266</t>
  </si>
  <si>
    <t>ISL00-0252600228</t>
  </si>
  <si>
    <t>TIRUPATI SALES CORPORATION</t>
  </si>
  <si>
    <t>T/110</t>
  </si>
  <si>
    <t>P/4006/25-26</t>
  </si>
  <si>
    <t>1295</t>
  </si>
  <si>
    <t>P/4056/25-26</t>
  </si>
  <si>
    <t>S360/2526/059</t>
  </si>
  <si>
    <t>SOURCE 360 SCM SERVICES</t>
  </si>
  <si>
    <t>T-2350/25-26</t>
  </si>
  <si>
    <t>86. Wire 1C X 2.5 SQ MM CU Flex.  (Unit: M)</t>
  </si>
  <si>
    <t>GST-0941/25-26</t>
  </si>
  <si>
    <t>87. Circuit Wire  (Unit: M)</t>
  </si>
  <si>
    <t>DWAG-26005620</t>
  </si>
  <si>
    <t>R R KABEL LIMITED - GJ</t>
  </si>
  <si>
    <t>IEPL/25-26/0076</t>
  </si>
  <si>
    <t>IMPERIUM ENGINEERING PRIVATE LIMITED</t>
  </si>
  <si>
    <t>GST-1177/25-26</t>
  </si>
  <si>
    <t>25-26/1022</t>
  </si>
  <si>
    <t>25-26/359</t>
  </si>
  <si>
    <t>25-26/2322</t>
  </si>
  <si>
    <t>25-26/517</t>
  </si>
  <si>
    <t>GST-1626/25-26</t>
  </si>
  <si>
    <t>ME/10891/25-26</t>
  </si>
  <si>
    <t>GST-0883/25-26</t>
  </si>
  <si>
    <t>15403</t>
  </si>
  <si>
    <t>INV-2526265</t>
  </si>
  <si>
    <t>GST-1159/25-26</t>
  </si>
  <si>
    <t>INV-2526325</t>
  </si>
  <si>
    <t>GST-1953/25-26</t>
  </si>
  <si>
    <t>GST-2396/25-26</t>
  </si>
  <si>
    <t>GST-2073/25-26</t>
  </si>
  <si>
    <t>15404</t>
  </si>
  <si>
    <t>GST-2855/25-26</t>
  </si>
  <si>
    <t>GST-0942/25-26</t>
  </si>
  <si>
    <t>GST-1569/25-26</t>
  </si>
  <si>
    <t>ME/11260/25-26</t>
  </si>
  <si>
    <t>T-0033/25-26</t>
  </si>
  <si>
    <t>NEW GOLDEN CABLE CORPORATION</t>
  </si>
  <si>
    <t>88. BBT Plug in hole for Bus bar  (Unit: Nos)</t>
  </si>
  <si>
    <t>89. MS Steel In - (Kg)  (Unit: kg)</t>
  </si>
  <si>
    <t>326</t>
  </si>
  <si>
    <t>212/25-26</t>
  </si>
  <si>
    <t>RAMESH STEEL AND ALLOYS</t>
  </si>
  <si>
    <t>1</t>
  </si>
  <si>
    <t>73</t>
  </si>
  <si>
    <t>INV-2526284</t>
  </si>
  <si>
    <t>9738/25-26</t>
  </si>
  <si>
    <t>INV-2526393</t>
  </si>
  <si>
    <t>211/25-26</t>
  </si>
  <si>
    <t>LE/25-26/2801</t>
  </si>
  <si>
    <t>LAXMI ENTERPRISE</t>
  </si>
  <si>
    <t>INV-2526001</t>
  </si>
  <si>
    <t>257/25-26</t>
  </si>
  <si>
    <t>INV-2526370</t>
  </si>
  <si>
    <t>14557/25-26</t>
  </si>
  <si>
    <t>INV-2526272</t>
  </si>
  <si>
    <t>3042/25-26</t>
  </si>
  <si>
    <t>TUBE TRADING CO</t>
  </si>
  <si>
    <t>199/25-26</t>
  </si>
  <si>
    <t>273</t>
  </si>
  <si>
    <t>INV-2526418</t>
  </si>
  <si>
    <t>16477/25-26</t>
  </si>
  <si>
    <t>402/25-26</t>
  </si>
  <si>
    <t>HI TECH STEEL AND TUBES</t>
  </si>
  <si>
    <t>INV-2526098</t>
  </si>
  <si>
    <t>202</t>
  </si>
  <si>
    <t>203</t>
  </si>
  <si>
    <t>216</t>
  </si>
  <si>
    <t>INV-2526162</t>
  </si>
  <si>
    <t>82/25-26</t>
  </si>
  <si>
    <t>131</t>
  </si>
  <si>
    <t>SHIV STEEL</t>
  </si>
  <si>
    <t>308</t>
  </si>
  <si>
    <t>11</t>
  </si>
  <si>
    <t>AB INDUSTRIES</t>
  </si>
  <si>
    <t>T0091/25-26</t>
  </si>
  <si>
    <t>M.D. INDUSTRIES</t>
  </si>
  <si>
    <t>INV-2526099</t>
  </si>
  <si>
    <t>301</t>
  </si>
  <si>
    <t>INV-2526138</t>
  </si>
  <si>
    <t>INV-2526137</t>
  </si>
  <si>
    <t>T00107/25-26</t>
  </si>
  <si>
    <t>245</t>
  </si>
  <si>
    <t>43</t>
  </si>
  <si>
    <t>62</t>
  </si>
  <si>
    <t>601/25-26</t>
  </si>
  <si>
    <t>90. Wire 1 Sq MM X 1C CU Flex.  (Unit: M)</t>
  </si>
  <si>
    <t>GST-1833/25-26</t>
  </si>
  <si>
    <t>25-26/1026</t>
  </si>
  <si>
    <t>T-1458/25-26</t>
  </si>
  <si>
    <t>GST-2023/25-26</t>
  </si>
  <si>
    <t>91. Cable Gland with Hood  (Unit: SET)</t>
  </si>
  <si>
    <t>GST-03193/25-26</t>
  </si>
  <si>
    <t>25-26/7952</t>
  </si>
  <si>
    <t>25-26/9879</t>
  </si>
  <si>
    <t>1181</t>
  </si>
  <si>
    <t>IE/25-26/336</t>
  </si>
  <si>
    <t>INFLUX ELECTRIC CO.</t>
  </si>
  <si>
    <t>T-3806/25-26</t>
  </si>
  <si>
    <t>INV-2526241</t>
  </si>
  <si>
    <t>GST-02751/25-26</t>
  </si>
  <si>
    <t>GST-03317/25-26</t>
  </si>
  <si>
    <t>GST-02712/25-26</t>
  </si>
  <si>
    <t>GST-03655/25-26</t>
  </si>
  <si>
    <t>T-2343/25-26</t>
  </si>
  <si>
    <t>T-2189/25-26</t>
  </si>
  <si>
    <t>GST-03615/25-26</t>
  </si>
  <si>
    <t>IE/25-26/935</t>
  </si>
  <si>
    <t>GST-02844/25-26</t>
  </si>
  <si>
    <t>1144</t>
  </si>
  <si>
    <t>RIS/25-26/884</t>
  </si>
  <si>
    <t>1484</t>
  </si>
  <si>
    <t>T-2384/25-26</t>
  </si>
  <si>
    <t>T-4092/25-26</t>
  </si>
  <si>
    <t>92. Electrical Panel  (Unit: Nos)</t>
  </si>
  <si>
    <t>INV-2526164</t>
  </si>
  <si>
    <t>RT/25-26/0218</t>
  </si>
  <si>
    <t>ROUTE TECHNOLOGIES</t>
  </si>
  <si>
    <t>BE002/25-26</t>
  </si>
  <si>
    <t>BHAVYADIP ELECTRO PANEL PRIVATE LIMITED</t>
  </si>
  <si>
    <t>INV-2526244</t>
  </si>
  <si>
    <t>AEPB/0227/25-26</t>
  </si>
  <si>
    <t>INV-2526353</t>
  </si>
  <si>
    <t>AUM ENGINEERING WORKS</t>
  </si>
  <si>
    <t>HE/107/2526</t>
  </si>
  <si>
    <t>HI TECH ENGINEERS</t>
  </si>
  <si>
    <t>VE-2526-039</t>
  </si>
  <si>
    <t>VRAJ ENGINEERS</t>
  </si>
  <si>
    <t>EES/25-26/28</t>
  </si>
  <si>
    <t>INV-2526397</t>
  </si>
  <si>
    <t>T00111/25-26</t>
  </si>
  <si>
    <t>25346</t>
  </si>
  <si>
    <t>VITAL ENGINEERING INSTRUMENTS PRIVATE LIMITED</t>
  </si>
  <si>
    <t>WTS-IN2526-00242</t>
  </si>
  <si>
    <t>WISDOM TECHNO SOLUTIONS</t>
  </si>
  <si>
    <t>214/PH/2025-26</t>
  </si>
  <si>
    <t>VIDHYUT POWER PRIVATE LIMITED</t>
  </si>
  <si>
    <t>T00114/25-26</t>
  </si>
  <si>
    <t>93. MCB  (Unit: Nos)</t>
  </si>
  <si>
    <t>SPPL25-26/790</t>
  </si>
  <si>
    <t>2501800</t>
  </si>
  <si>
    <t>INV-2526296</t>
  </si>
  <si>
    <t>SPPL25-26/4833</t>
  </si>
  <si>
    <t>INV-2526141</t>
  </si>
  <si>
    <t>65</t>
  </si>
  <si>
    <t>INV-2526140</t>
  </si>
  <si>
    <t>956/25-26</t>
  </si>
  <si>
    <t>R.C. AUTOMATION INC.</t>
  </si>
  <si>
    <t>INV-2526185</t>
  </si>
  <si>
    <t>SPPL25-26/6412</t>
  </si>
  <si>
    <t>INV-2526135</t>
  </si>
  <si>
    <t>SPPL25-26/5624</t>
  </si>
  <si>
    <t>AA2750140120</t>
  </si>
  <si>
    <t>699/25-26</t>
  </si>
  <si>
    <t>SPPL25-26/4732</t>
  </si>
  <si>
    <t>INV-2526100</t>
  </si>
  <si>
    <t>64</t>
  </si>
  <si>
    <t>2503656</t>
  </si>
  <si>
    <t>SPPL25-26/3077</t>
  </si>
  <si>
    <t>2504817</t>
  </si>
  <si>
    <t>AA2750141754</t>
  </si>
  <si>
    <t>INV-2526417</t>
  </si>
  <si>
    <t>AA2750141182</t>
  </si>
  <si>
    <t>INV-2526101</t>
  </si>
  <si>
    <t>SPPL25-26/3588</t>
  </si>
  <si>
    <t>INV-2526179</t>
  </si>
  <si>
    <t>INV-2526442</t>
  </si>
  <si>
    <t>GST-1742/25-26</t>
  </si>
  <si>
    <t>SPPL25-26/3771</t>
  </si>
  <si>
    <t>923/25-26</t>
  </si>
  <si>
    <t>2504580</t>
  </si>
  <si>
    <t>GST-2838/25-26</t>
  </si>
  <si>
    <t>2504144</t>
  </si>
  <si>
    <t>SPPL25-26/3046</t>
  </si>
  <si>
    <t>1058/25-26</t>
  </si>
  <si>
    <t>2502647</t>
  </si>
  <si>
    <t>BSE/25-26/03151</t>
  </si>
  <si>
    <t>B.S. ELECTRICALS</t>
  </si>
  <si>
    <t>GST-03518/25-26</t>
  </si>
  <si>
    <t>SPPL25-26/5452</t>
  </si>
  <si>
    <t>BSE/25-26/02862</t>
  </si>
  <si>
    <t>BSE/25-26/03586</t>
  </si>
  <si>
    <t>GST-1868/25-26</t>
  </si>
  <si>
    <t>IN/25-26/12913</t>
  </si>
  <si>
    <t>GST-3678/25-26</t>
  </si>
  <si>
    <t>T-2444/25-26</t>
  </si>
  <si>
    <t>TORRECID</t>
  </si>
  <si>
    <t>M D Industries</t>
  </si>
  <si>
    <t>Rehau</t>
  </si>
  <si>
    <t>MG</t>
  </si>
  <si>
    <t>Arkel</t>
  </si>
  <si>
    <t>Syncomp</t>
  </si>
  <si>
    <t>LANTEC</t>
  </si>
  <si>
    <t>ARKEL</t>
  </si>
  <si>
    <t>GALAXY</t>
  </si>
  <si>
    <t>STYRENIX</t>
  </si>
  <si>
    <t>Link</t>
  </si>
  <si>
    <t>MDI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</si>
</sst>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78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0"/>
      <color rgb="FFC00000"/>
      <name val="Arial"/>
      <family val="2"/>
    </font>
    <font>
      <i/>
      <sz val="9"/>
      <color rgb="FF999999"/>
      <name val="Arial"/>
      <family val="2"/>
    </font>
    <font>
      <sz val="10"/>
      <color rgb="FF00610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u/>
      <sz val="9"/>
      <color rgb="FF0563C1"/>
      <name val="Arial"/>
      <family val="2"/>
    </font>
    <font>
      <sz val="10"/>
      <color rgb="FFFF0000"/>
      <name val="Arial"/>
      <family val="2"/>
    </font>
    <font>
      <sz val="12"/>
      <color rgb="FFFF0000"/>
      <name val="Ubuntu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8" fillId="0" borderId="0" xfId="0" applyFont="1"/>
    <xf numFmtId="0" fontId="10" fillId="0" borderId="0" xfId="0" applyFon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0" fontId="4" fillId="2" borderId="1" xfId="0" applyFont="1" applyFill="1" applyBorder="1" applyAlignment="1">
      <alignment horizontal="center" wrapText="1"/>
    </xf>
    <xf numFmtId="4" fontId="5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0" fillId="0" borderId="1" xfId="0" applyBorder="1"/>
    <xf numFmtId="4" fontId="10" fillId="0" borderId="1" xfId="0" applyNumberFormat="1" applyFont="1" applyBorder="1"/>
    <xf numFmtId="4" fontId="7" fillId="0" borderId="1" xfId="0" applyNumberFormat="1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3" fillId="5" borderId="1" xfId="0" applyFont="1" applyFill="1" applyBorder="1"/>
    <xf numFmtId="4" fontId="13" fillId="5" borderId="1" xfId="0" applyNumberFormat="1" applyFont="1" applyFill="1" applyBorder="1" applyAlignment="1">
      <alignment horizontal="right"/>
    </xf>
    <xf numFmtId="4" fontId="5" fillId="0" borderId="3" xfId="0" applyNumberFormat="1" applyFont="1" applyBorder="1" applyAlignment="1">
      <alignment horizontal="right"/>
    </xf>
    <xf numFmtId="0" fontId="5" fillId="0" borderId="4" xfId="0" applyFont="1" applyBorder="1"/>
    <xf numFmtId="4" fontId="5" fillId="0" borderId="4" xfId="0" applyNumberFormat="1" applyFont="1" applyBorder="1" applyAlignment="1">
      <alignment horizontal="right"/>
    </xf>
    <xf numFmtId="0" fontId="5" fillId="0" borderId="5" xfId="0" applyFont="1" applyBorder="1"/>
    <xf numFmtId="4" fontId="5" fillId="0" borderId="5" xfId="0" applyNumberFormat="1" applyFont="1" applyBorder="1" applyAlignment="1">
      <alignment horizontal="right"/>
    </xf>
    <xf numFmtId="0" fontId="5" fillId="0" borderId="2" xfId="0" applyFont="1" applyBorder="1"/>
    <xf numFmtId="4" fontId="5" fillId="0" borderId="2" xfId="0" applyNumberFormat="1" applyFont="1" applyBorder="1" applyAlignment="1">
      <alignment horizontal="right"/>
    </xf>
    <xf numFmtId="0" fontId="0" fillId="0" borderId="2" xfId="0" applyBorder="1"/>
    <xf numFmtId="4" fontId="13" fillId="5" borderId="3" xfId="0" applyNumberFormat="1" applyFont="1" applyFill="1" applyBorder="1" applyAlignment="1">
      <alignment horizontal="right"/>
    </xf>
    <xf numFmtId="0" fontId="1" fillId="0" borderId="1" xfId="0" applyFont="1" applyBorder="1"/>
    <xf numFmtId="0" fontId="14" fillId="5" borderId="0" xfId="0" applyFont="1" applyFill="1"/>
    <xf numFmtId="0" fontId="13" fillId="0" borderId="1" xfId="0" applyFont="1" applyFill="1" applyBorder="1"/>
    <xf numFmtId="4" fontId="13" fillId="0" borderId="1" xfId="0" applyNumberFormat="1" applyFont="1" applyFill="1" applyBorder="1" applyAlignment="1">
      <alignment horizontal="right"/>
    </xf>
    <xf numFmtId="0" fontId="0" fillId="0" borderId="0" xfId="0" applyFill="1"/>
    <xf numFmtId="0" fontId="1" fillId="0" borderId="1" xfId="0" applyFont="1" applyFill="1" applyBorder="1"/>
    <xf numFmtId="4" fontId="1" fillId="0" borderId="1" xfId="0" applyNumberFormat="1" applyFont="1" applyFill="1" applyBorder="1" applyAlignment="1">
      <alignment horizontal="right"/>
    </xf>
    <xf numFmtId="0" fontId="15" fillId="0" borderId="0" xfId="0" applyFont="1" applyFill="1"/>
    <xf numFmtId="4" fontId="0" fillId="0" borderId="0" xfId="0" applyNumberFormat="1"/>
    <xf numFmtId="0" fontId="1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Bansil_Engineer_Material_Reconciliation_FY2025-26.xlsx" TargetMode="External"/><Relationship Id="rId21" Type="http://schemas.openxmlformats.org/officeDocument/2006/relationships/hyperlink" Target="Bansil_Engineer_Material_Reconciliation_FY2025-26.xlsx" TargetMode="External"/><Relationship Id="rId42" Type="http://schemas.openxmlformats.org/officeDocument/2006/relationships/hyperlink" Target="Bansil_Engineer_Material_Reconciliation_FY2025-26.xlsx" TargetMode="External"/><Relationship Id="rId47" Type="http://schemas.openxmlformats.org/officeDocument/2006/relationships/hyperlink" Target="Bansil_Engineer_Material_Reconciliation_FY2025-26.xlsx" TargetMode="External"/><Relationship Id="rId63" Type="http://schemas.openxmlformats.org/officeDocument/2006/relationships/hyperlink" Target="Bansil_Engineer_Material_Reconciliation_FY2025-26.xlsx" TargetMode="External"/><Relationship Id="rId68" Type="http://schemas.openxmlformats.org/officeDocument/2006/relationships/hyperlink" Target="Bansil_Engineer_Material_Reconciliation_FY2025-26.xlsx" TargetMode="External"/><Relationship Id="rId84" Type="http://schemas.openxmlformats.org/officeDocument/2006/relationships/hyperlink" Target="Bansil_Engineer_Material_Reconciliation_FY2025-26.xlsx" TargetMode="External"/><Relationship Id="rId89" Type="http://schemas.openxmlformats.org/officeDocument/2006/relationships/hyperlink" Target="Bansil_Engineer_Material_Reconciliation_FY2025-26.xlsx" TargetMode="External"/><Relationship Id="rId16" Type="http://schemas.openxmlformats.org/officeDocument/2006/relationships/hyperlink" Target="Bansil_Engineer_Material_Reconciliation_FY2025-26.xlsx" TargetMode="External"/><Relationship Id="rId11" Type="http://schemas.openxmlformats.org/officeDocument/2006/relationships/hyperlink" Target="Bansil_Engineer_Material_Reconciliation_FY2025-26.xlsx" TargetMode="External"/><Relationship Id="rId32" Type="http://schemas.openxmlformats.org/officeDocument/2006/relationships/hyperlink" Target="Bansil_Engineer_Material_Reconciliation_FY2025-26.xlsx" TargetMode="External"/><Relationship Id="rId37" Type="http://schemas.openxmlformats.org/officeDocument/2006/relationships/hyperlink" Target="Bansil_Engineer_Material_Reconciliation_FY2025-26.xlsx" TargetMode="External"/><Relationship Id="rId53" Type="http://schemas.openxmlformats.org/officeDocument/2006/relationships/hyperlink" Target="Bansil_Engineer_Material_Reconciliation_FY2025-26.xlsx" TargetMode="External"/><Relationship Id="rId58" Type="http://schemas.openxmlformats.org/officeDocument/2006/relationships/hyperlink" Target="Bansil_Engineer_Material_Reconciliation_FY2025-26.xlsx" TargetMode="External"/><Relationship Id="rId74" Type="http://schemas.openxmlformats.org/officeDocument/2006/relationships/hyperlink" Target="Bansil_Engineer_Material_Reconciliation_FY2025-26.xlsx" TargetMode="External"/><Relationship Id="rId79" Type="http://schemas.openxmlformats.org/officeDocument/2006/relationships/hyperlink" Target="Bansil_Engineer_Material_Reconciliation_FY2025-26.xlsx" TargetMode="External"/><Relationship Id="rId5" Type="http://schemas.openxmlformats.org/officeDocument/2006/relationships/hyperlink" Target="Bansil_Engineer_Material_Reconciliation_FY2025-26.xlsx" TargetMode="External"/><Relationship Id="rId90" Type="http://schemas.openxmlformats.org/officeDocument/2006/relationships/hyperlink" Target="Bansil_Engineer_Material_Reconciliation_FY2025-26.xlsx" TargetMode="External"/><Relationship Id="rId22" Type="http://schemas.openxmlformats.org/officeDocument/2006/relationships/hyperlink" Target="Bansil_Engineer_Material_Reconciliation_FY2025-26.xlsx" TargetMode="External"/><Relationship Id="rId27" Type="http://schemas.openxmlformats.org/officeDocument/2006/relationships/hyperlink" Target="Bansil_Engineer_Material_Reconciliation_FY2025-26.xlsx" TargetMode="External"/><Relationship Id="rId43" Type="http://schemas.openxmlformats.org/officeDocument/2006/relationships/hyperlink" Target="Bansil_Engineer_Material_Reconciliation_FY2025-26.xlsx" TargetMode="External"/><Relationship Id="rId48" Type="http://schemas.openxmlformats.org/officeDocument/2006/relationships/hyperlink" Target="Bansil_Engineer_Material_Reconciliation_FY2025-26.xlsx" TargetMode="External"/><Relationship Id="rId64" Type="http://schemas.openxmlformats.org/officeDocument/2006/relationships/hyperlink" Target="Bansil_Engineer_Material_Reconciliation_FY2025-26.xlsx" TargetMode="External"/><Relationship Id="rId69" Type="http://schemas.openxmlformats.org/officeDocument/2006/relationships/hyperlink" Target="Bansil_Engineer_Material_Reconciliation_FY2025-26.xlsx" TargetMode="External"/><Relationship Id="rId8" Type="http://schemas.openxmlformats.org/officeDocument/2006/relationships/hyperlink" Target="Bansil_Engineer_Material_Reconciliation_FY2025-26.xlsx" TargetMode="External"/><Relationship Id="rId51" Type="http://schemas.openxmlformats.org/officeDocument/2006/relationships/hyperlink" Target="Bansil_Engineer_Material_Reconciliation_FY2025-26.xlsx" TargetMode="External"/><Relationship Id="rId72" Type="http://schemas.openxmlformats.org/officeDocument/2006/relationships/hyperlink" Target="Bansil_Engineer_Material_Reconciliation_FY2025-26.xlsx" TargetMode="External"/><Relationship Id="rId80" Type="http://schemas.openxmlformats.org/officeDocument/2006/relationships/hyperlink" Target="Bansil_Engineer_Material_Reconciliation_FY2025-26.xlsx" TargetMode="External"/><Relationship Id="rId85" Type="http://schemas.openxmlformats.org/officeDocument/2006/relationships/hyperlink" Target="Bansil_Engineer_Material_Reconciliation_FY2025-26.xlsx" TargetMode="External"/><Relationship Id="rId93" Type="http://schemas.openxmlformats.org/officeDocument/2006/relationships/hyperlink" Target="Bansil_Engineer_Material_Reconciliation_FY2025-26.xlsx" TargetMode="External"/><Relationship Id="rId3" Type="http://schemas.openxmlformats.org/officeDocument/2006/relationships/hyperlink" Target="Bansil_Engineer_Material_Reconciliation_FY2025-26.xlsx" TargetMode="External"/><Relationship Id="rId12" Type="http://schemas.openxmlformats.org/officeDocument/2006/relationships/hyperlink" Target="Bansil_Engineer_Material_Reconciliation_FY2025-26.xlsx" TargetMode="External"/><Relationship Id="rId17" Type="http://schemas.openxmlformats.org/officeDocument/2006/relationships/hyperlink" Target="Bansil_Engineer_Material_Reconciliation_FY2025-26.xlsx" TargetMode="External"/><Relationship Id="rId25" Type="http://schemas.openxmlformats.org/officeDocument/2006/relationships/hyperlink" Target="Bansil_Engineer_Material_Reconciliation_FY2025-26.xlsx" TargetMode="External"/><Relationship Id="rId33" Type="http://schemas.openxmlformats.org/officeDocument/2006/relationships/hyperlink" Target="Bansil_Engineer_Material_Reconciliation_FY2025-26.xlsx" TargetMode="External"/><Relationship Id="rId38" Type="http://schemas.openxmlformats.org/officeDocument/2006/relationships/hyperlink" Target="Bansil_Engineer_Material_Reconciliation_FY2025-26.xlsx" TargetMode="External"/><Relationship Id="rId46" Type="http://schemas.openxmlformats.org/officeDocument/2006/relationships/hyperlink" Target="Bansil_Engineer_Material_Reconciliation_FY2025-26.xlsx" TargetMode="External"/><Relationship Id="rId59" Type="http://schemas.openxmlformats.org/officeDocument/2006/relationships/hyperlink" Target="Bansil_Engineer_Material_Reconciliation_FY2025-26.xlsx" TargetMode="External"/><Relationship Id="rId67" Type="http://schemas.openxmlformats.org/officeDocument/2006/relationships/hyperlink" Target="Bansil_Engineer_Material_Reconciliation_FY2025-26.xlsx" TargetMode="External"/><Relationship Id="rId20" Type="http://schemas.openxmlformats.org/officeDocument/2006/relationships/hyperlink" Target="Bansil_Engineer_Material_Reconciliation_FY2025-26.xlsx" TargetMode="External"/><Relationship Id="rId41" Type="http://schemas.openxmlformats.org/officeDocument/2006/relationships/hyperlink" Target="Bansil_Engineer_Material_Reconciliation_FY2025-26.xlsx" TargetMode="External"/><Relationship Id="rId54" Type="http://schemas.openxmlformats.org/officeDocument/2006/relationships/hyperlink" Target="Bansil_Engineer_Material_Reconciliation_FY2025-26.xlsx" TargetMode="External"/><Relationship Id="rId62" Type="http://schemas.openxmlformats.org/officeDocument/2006/relationships/hyperlink" Target="Bansil_Engineer_Material_Reconciliation_FY2025-26.xlsx" TargetMode="External"/><Relationship Id="rId70" Type="http://schemas.openxmlformats.org/officeDocument/2006/relationships/hyperlink" Target="Bansil_Engineer_Material_Reconciliation_FY2025-26.xlsx" TargetMode="External"/><Relationship Id="rId75" Type="http://schemas.openxmlformats.org/officeDocument/2006/relationships/hyperlink" Target="Bansil_Engineer_Material_Reconciliation_FY2025-26.xlsx" TargetMode="External"/><Relationship Id="rId83" Type="http://schemas.openxmlformats.org/officeDocument/2006/relationships/hyperlink" Target="Bansil_Engineer_Material_Reconciliation_FY2025-26.xlsx" TargetMode="External"/><Relationship Id="rId88" Type="http://schemas.openxmlformats.org/officeDocument/2006/relationships/hyperlink" Target="Bansil_Engineer_Material_Reconciliation_FY2025-26.xlsx" TargetMode="External"/><Relationship Id="rId91" Type="http://schemas.openxmlformats.org/officeDocument/2006/relationships/hyperlink" Target="Bansil_Engineer_Material_Reconciliation_FY2025-26.xlsx" TargetMode="External"/><Relationship Id="rId1" Type="http://schemas.openxmlformats.org/officeDocument/2006/relationships/hyperlink" Target="Bansil_Engineer_Material_Reconciliation_FY2025-26.xlsx" TargetMode="External"/><Relationship Id="rId6" Type="http://schemas.openxmlformats.org/officeDocument/2006/relationships/hyperlink" Target="Bansil_Engineer_Material_Reconciliation_FY2025-26.xlsx" TargetMode="External"/><Relationship Id="rId15" Type="http://schemas.openxmlformats.org/officeDocument/2006/relationships/hyperlink" Target="Bansil_Engineer_Material_Reconciliation_FY2025-26.xlsx" TargetMode="External"/><Relationship Id="rId23" Type="http://schemas.openxmlformats.org/officeDocument/2006/relationships/hyperlink" Target="Bansil_Engineer_Material_Reconciliation_FY2025-26.xlsx" TargetMode="External"/><Relationship Id="rId28" Type="http://schemas.openxmlformats.org/officeDocument/2006/relationships/hyperlink" Target="Bansil_Engineer_Material_Reconciliation_FY2025-26.xlsx" TargetMode="External"/><Relationship Id="rId36" Type="http://schemas.openxmlformats.org/officeDocument/2006/relationships/hyperlink" Target="Bansil_Engineer_Material_Reconciliation_FY2025-26.xlsx" TargetMode="External"/><Relationship Id="rId49" Type="http://schemas.openxmlformats.org/officeDocument/2006/relationships/hyperlink" Target="Bansil_Engineer_Material_Reconciliation_FY2025-26.xlsx" TargetMode="External"/><Relationship Id="rId57" Type="http://schemas.openxmlformats.org/officeDocument/2006/relationships/hyperlink" Target="Bansil_Engineer_Material_Reconciliation_FY2025-26.xlsx" TargetMode="External"/><Relationship Id="rId10" Type="http://schemas.openxmlformats.org/officeDocument/2006/relationships/hyperlink" Target="Bansil_Engineer_Material_Reconciliation_FY2025-26.xlsx" TargetMode="External"/><Relationship Id="rId31" Type="http://schemas.openxmlformats.org/officeDocument/2006/relationships/hyperlink" Target="Bansil_Engineer_Material_Reconciliation_FY2025-26.xlsx" TargetMode="External"/><Relationship Id="rId44" Type="http://schemas.openxmlformats.org/officeDocument/2006/relationships/hyperlink" Target="Bansil_Engineer_Material_Reconciliation_FY2025-26.xlsx" TargetMode="External"/><Relationship Id="rId52" Type="http://schemas.openxmlformats.org/officeDocument/2006/relationships/hyperlink" Target="Bansil_Engineer_Material_Reconciliation_FY2025-26.xlsx" TargetMode="External"/><Relationship Id="rId60" Type="http://schemas.openxmlformats.org/officeDocument/2006/relationships/hyperlink" Target="Bansil_Engineer_Material_Reconciliation_FY2025-26.xlsx" TargetMode="External"/><Relationship Id="rId65" Type="http://schemas.openxmlformats.org/officeDocument/2006/relationships/hyperlink" Target="Bansil_Engineer_Material_Reconciliation_FY2025-26.xlsx" TargetMode="External"/><Relationship Id="rId73" Type="http://schemas.openxmlformats.org/officeDocument/2006/relationships/hyperlink" Target="Bansil_Engineer_Material_Reconciliation_FY2025-26.xlsx" TargetMode="External"/><Relationship Id="rId78" Type="http://schemas.openxmlformats.org/officeDocument/2006/relationships/hyperlink" Target="Bansil_Engineer_Material_Reconciliation_FY2025-26.xlsx" TargetMode="External"/><Relationship Id="rId81" Type="http://schemas.openxmlformats.org/officeDocument/2006/relationships/hyperlink" Target="Bansil_Engineer_Material_Reconciliation_FY2025-26.xlsx" TargetMode="External"/><Relationship Id="rId86" Type="http://schemas.openxmlformats.org/officeDocument/2006/relationships/hyperlink" Target="Bansil_Engineer_Material_Reconciliation_FY2025-26.xlsx" TargetMode="External"/><Relationship Id="rId4" Type="http://schemas.openxmlformats.org/officeDocument/2006/relationships/hyperlink" Target="Bansil_Engineer_Material_Reconciliation_FY2025-26.xlsx" TargetMode="External"/><Relationship Id="rId9" Type="http://schemas.openxmlformats.org/officeDocument/2006/relationships/hyperlink" Target="Bansil_Engineer_Material_Reconciliation_FY2025-26.xlsx" TargetMode="External"/><Relationship Id="rId13" Type="http://schemas.openxmlformats.org/officeDocument/2006/relationships/hyperlink" Target="Bansil_Engineer_Material_Reconciliation_FY2025-26.xlsx" TargetMode="External"/><Relationship Id="rId18" Type="http://schemas.openxmlformats.org/officeDocument/2006/relationships/hyperlink" Target="Bansil_Engineer_Material_Reconciliation_FY2025-26.xlsx" TargetMode="External"/><Relationship Id="rId39" Type="http://schemas.openxmlformats.org/officeDocument/2006/relationships/hyperlink" Target="Bansil_Engineer_Material_Reconciliation_FY2025-26.xlsx" TargetMode="External"/><Relationship Id="rId34" Type="http://schemas.openxmlformats.org/officeDocument/2006/relationships/hyperlink" Target="Bansil_Engineer_Material_Reconciliation_FY2025-26.xlsx" TargetMode="External"/><Relationship Id="rId50" Type="http://schemas.openxmlformats.org/officeDocument/2006/relationships/hyperlink" Target="Bansil_Engineer_Material_Reconciliation_FY2025-26.xlsx" TargetMode="External"/><Relationship Id="rId55" Type="http://schemas.openxmlformats.org/officeDocument/2006/relationships/hyperlink" Target="Bansil_Engineer_Material_Reconciliation_FY2025-26.xlsx" TargetMode="External"/><Relationship Id="rId76" Type="http://schemas.openxmlformats.org/officeDocument/2006/relationships/hyperlink" Target="Bansil_Engineer_Material_Reconciliation_FY2025-26.xlsx" TargetMode="External"/><Relationship Id="rId7" Type="http://schemas.openxmlformats.org/officeDocument/2006/relationships/hyperlink" Target="Bansil_Engineer_Material_Reconciliation_FY2025-26.xlsx" TargetMode="External"/><Relationship Id="rId71" Type="http://schemas.openxmlformats.org/officeDocument/2006/relationships/hyperlink" Target="Bansil_Engineer_Material_Reconciliation_FY2025-26.xlsx" TargetMode="External"/><Relationship Id="rId92" Type="http://schemas.openxmlformats.org/officeDocument/2006/relationships/hyperlink" Target="Bansil_Engineer_Material_Reconciliation_FY2025-26.xlsx" TargetMode="External"/><Relationship Id="rId2" Type="http://schemas.openxmlformats.org/officeDocument/2006/relationships/hyperlink" Target="Bansil_Engineer_Material_Reconciliation_FY2025-26.xlsx" TargetMode="External"/><Relationship Id="rId29" Type="http://schemas.openxmlformats.org/officeDocument/2006/relationships/hyperlink" Target="Bansil_Engineer_Material_Reconciliation_FY2025-26.xlsx" TargetMode="External"/><Relationship Id="rId24" Type="http://schemas.openxmlformats.org/officeDocument/2006/relationships/hyperlink" Target="Bansil_Engineer_Material_Reconciliation_FY2025-26.xlsx" TargetMode="External"/><Relationship Id="rId40" Type="http://schemas.openxmlformats.org/officeDocument/2006/relationships/hyperlink" Target="Bansil_Engineer_Material_Reconciliation_FY2025-26.xlsx" TargetMode="External"/><Relationship Id="rId45" Type="http://schemas.openxmlformats.org/officeDocument/2006/relationships/hyperlink" Target="Bansil_Engineer_Material_Reconciliation_FY2025-26.xlsx" TargetMode="External"/><Relationship Id="rId66" Type="http://schemas.openxmlformats.org/officeDocument/2006/relationships/hyperlink" Target="Bansil_Engineer_Material_Reconciliation_FY2025-26.xlsx" TargetMode="External"/><Relationship Id="rId87" Type="http://schemas.openxmlformats.org/officeDocument/2006/relationships/hyperlink" Target="Bansil_Engineer_Material_Reconciliation_FY2025-26.xlsx" TargetMode="External"/><Relationship Id="rId61" Type="http://schemas.openxmlformats.org/officeDocument/2006/relationships/hyperlink" Target="Bansil_Engineer_Material_Reconciliation_FY2025-26.xlsx" TargetMode="External"/><Relationship Id="rId82" Type="http://schemas.openxmlformats.org/officeDocument/2006/relationships/hyperlink" Target="Bansil_Engineer_Material_Reconciliation_FY2025-26.xlsx" TargetMode="External"/><Relationship Id="rId19" Type="http://schemas.openxmlformats.org/officeDocument/2006/relationships/hyperlink" Target="Bansil_Engineer_Material_Reconciliation_FY2025-26.xlsx" TargetMode="External"/><Relationship Id="rId14" Type="http://schemas.openxmlformats.org/officeDocument/2006/relationships/hyperlink" Target="Bansil_Engineer_Material_Reconciliation_FY2025-26.xlsx" TargetMode="External"/><Relationship Id="rId30" Type="http://schemas.openxmlformats.org/officeDocument/2006/relationships/hyperlink" Target="Bansil_Engineer_Material_Reconciliation_FY2025-26.xlsx" TargetMode="External"/><Relationship Id="rId35" Type="http://schemas.openxmlformats.org/officeDocument/2006/relationships/hyperlink" Target="Bansil_Engineer_Material_Reconciliation_FY2025-26.xlsx" TargetMode="External"/><Relationship Id="rId56" Type="http://schemas.openxmlformats.org/officeDocument/2006/relationships/hyperlink" Target="Bansil_Engineer_Material_Reconciliation_FY2025-26.xlsx" TargetMode="External"/><Relationship Id="rId77" Type="http://schemas.openxmlformats.org/officeDocument/2006/relationships/hyperlink" Target="Bansil_Engineer_Material_Reconciliation_FY2025-26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Bansil_Engineer_Material_Reconciliation_FY2025-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7"/>
  <sheetViews>
    <sheetView showGridLines="0" zoomScale="160" zoomScaleNormal="100" workbookViewId="0">
      <pane ySplit="6" topLeftCell="A86" activePane="bottomLeft" state="frozen"/>
      <selection pane="bottomLeft" activeCell="H6" sqref="H6"/>
    </sheetView>
  </sheetViews>
  <sheetFormatPr baseColWidth="10" defaultColWidth="8.6640625" defaultRowHeight="15" x14ac:dyDescent="0.2"/>
  <cols>
    <col min="1" max="1" width="5" style="29" customWidth="1"/>
    <col min="2" max="2" width="42" style="14" customWidth="1"/>
    <col min="3" max="3" width="7" style="29" customWidth="1"/>
    <col min="4" max="5" width="16" style="14" customWidth="1"/>
    <col min="6" max="6" width="12" style="14" customWidth="1"/>
    <col min="7" max="7" width="16" style="14" customWidth="1"/>
    <col min="8" max="8" width="15" style="14" customWidth="1"/>
    <col min="9" max="9" width="20" style="14" customWidth="1"/>
    <col min="10" max="16384" width="8.6640625" style="14"/>
  </cols>
  <sheetData>
    <row r="2" spans="1:9" ht="21.75" customHeight="1" x14ac:dyDescent="0.2">
      <c r="B2" s="15" t="s">
        <v>0</v>
      </c>
    </row>
    <row r="3" spans="1:9" x14ac:dyDescent="0.2">
      <c r="B3" s="16" t="s">
        <v>1</v>
      </c>
    </row>
    <row r="4" spans="1:9" x14ac:dyDescent="0.2">
      <c r="B4" s="16" t="s">
        <v>2</v>
      </c>
    </row>
    <row r="6" spans="1:9" ht="33.75" customHeight="1" x14ac:dyDescent="0.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1:9" ht="42" x14ac:dyDescent="0.2">
      <c r="A7" s="30">
        <v>1</v>
      </c>
      <c r="B7" s="17" t="s">
        <v>12</v>
      </c>
      <c r="C7" s="30" t="s">
        <v>13</v>
      </c>
      <c r="D7" s="18">
        <v>71</v>
      </c>
      <c r="E7" s="18">
        <v>78</v>
      </c>
      <c r="F7" s="18">
        <v>-7</v>
      </c>
      <c r="G7" s="18">
        <v>-7</v>
      </c>
      <c r="H7" s="18">
        <v>-413500</v>
      </c>
      <c r="I7" s="19" t="s">
        <v>14</v>
      </c>
    </row>
    <row r="8" spans="1:9" ht="42" x14ac:dyDescent="0.2">
      <c r="A8" s="30">
        <v>2</v>
      </c>
      <c r="B8" s="17" t="s">
        <v>15</v>
      </c>
      <c r="C8" s="30" t="s">
        <v>16</v>
      </c>
      <c r="D8" s="18">
        <v>3600</v>
      </c>
      <c r="E8" s="18">
        <v>3836</v>
      </c>
      <c r="F8" s="18">
        <v>-236</v>
      </c>
      <c r="G8" s="18">
        <v>-236</v>
      </c>
      <c r="H8" s="18">
        <v>-315300.71999999997</v>
      </c>
      <c r="I8" s="19" t="s">
        <v>17</v>
      </c>
    </row>
    <row r="9" spans="1:9" ht="42" x14ac:dyDescent="0.2">
      <c r="A9" s="30">
        <v>3</v>
      </c>
      <c r="B9" s="17" t="s">
        <v>18</v>
      </c>
      <c r="C9" s="30" t="s">
        <v>19</v>
      </c>
      <c r="D9" s="18">
        <v>2.177</v>
      </c>
      <c r="E9" s="18">
        <v>8.1</v>
      </c>
      <c r="F9" s="18">
        <v>-5.923</v>
      </c>
      <c r="G9" s="18">
        <v>-5.923</v>
      </c>
      <c r="H9" s="18">
        <v>-313423.5</v>
      </c>
      <c r="I9" s="19" t="s">
        <v>20</v>
      </c>
    </row>
    <row r="10" spans="1:9" ht="42" x14ac:dyDescent="0.2">
      <c r="A10" s="30">
        <v>4</v>
      </c>
      <c r="B10" s="17" t="s">
        <v>21</v>
      </c>
      <c r="C10" s="30" t="s">
        <v>13</v>
      </c>
      <c r="D10" s="18">
        <v>39</v>
      </c>
      <c r="E10" s="18">
        <v>41</v>
      </c>
      <c r="F10" s="18">
        <v>-2</v>
      </c>
      <c r="G10" s="18">
        <v>-4</v>
      </c>
      <c r="H10" s="18">
        <v>-75320</v>
      </c>
      <c r="I10" s="19" t="s">
        <v>22</v>
      </c>
    </row>
    <row r="11" spans="1:9" ht="42" x14ac:dyDescent="0.2">
      <c r="A11" s="30">
        <v>5</v>
      </c>
      <c r="B11" s="17" t="s">
        <v>23</v>
      </c>
      <c r="C11" s="30" t="s">
        <v>16</v>
      </c>
      <c r="D11" s="18">
        <v>545</v>
      </c>
      <c r="E11" s="18">
        <v>655</v>
      </c>
      <c r="F11" s="18">
        <v>-110</v>
      </c>
      <c r="G11" s="18">
        <v>-110</v>
      </c>
      <c r="H11" s="18">
        <v>-72177.600000000006</v>
      </c>
      <c r="I11" s="19" t="s">
        <v>24</v>
      </c>
    </row>
    <row r="12" spans="1:9" ht="42" x14ac:dyDescent="0.2">
      <c r="A12" s="30">
        <v>6</v>
      </c>
      <c r="B12" s="17" t="s">
        <v>25</v>
      </c>
      <c r="C12" s="30" t="s">
        <v>16</v>
      </c>
      <c r="D12" s="18">
        <v>2070</v>
      </c>
      <c r="E12" s="18">
        <v>2158</v>
      </c>
      <c r="F12" s="18">
        <v>-88</v>
      </c>
      <c r="G12" s="18">
        <v>-88</v>
      </c>
      <c r="H12" s="18">
        <v>-43575.839999999997</v>
      </c>
      <c r="I12" s="19" t="s">
        <v>26</v>
      </c>
    </row>
    <row r="13" spans="1:9" ht="42" x14ac:dyDescent="0.2">
      <c r="A13" s="30">
        <v>7</v>
      </c>
      <c r="B13" s="17" t="s">
        <v>27</v>
      </c>
      <c r="C13" s="30" t="s">
        <v>16</v>
      </c>
      <c r="D13" s="18">
        <v>2010</v>
      </c>
      <c r="E13" s="18">
        <v>2290</v>
      </c>
      <c r="F13" s="18">
        <v>-280</v>
      </c>
      <c r="G13" s="18">
        <v>-200</v>
      </c>
      <c r="H13" s="18">
        <v>-42500</v>
      </c>
      <c r="I13" s="19" t="s">
        <v>28</v>
      </c>
    </row>
    <row r="14" spans="1:9" ht="42" x14ac:dyDescent="0.2">
      <c r="A14" s="30">
        <v>8</v>
      </c>
      <c r="B14" s="17" t="s">
        <v>29</v>
      </c>
      <c r="C14" s="30" t="s">
        <v>16</v>
      </c>
      <c r="D14" s="18">
        <v>40</v>
      </c>
      <c r="E14" s="18">
        <v>76</v>
      </c>
      <c r="F14" s="18">
        <v>-36</v>
      </c>
      <c r="G14" s="18">
        <v>-36</v>
      </c>
      <c r="H14" s="18">
        <v>-33480</v>
      </c>
      <c r="I14" s="19" t="s">
        <v>30</v>
      </c>
    </row>
    <row r="15" spans="1:9" ht="42" x14ac:dyDescent="0.2">
      <c r="A15" s="30">
        <v>9</v>
      </c>
      <c r="B15" s="17" t="s">
        <v>31</v>
      </c>
      <c r="C15" s="30" t="s">
        <v>13</v>
      </c>
      <c r="D15" s="18">
        <v>17</v>
      </c>
      <c r="E15" s="18">
        <v>18</v>
      </c>
      <c r="F15" s="18">
        <v>-1</v>
      </c>
      <c r="G15" s="18">
        <v>-5</v>
      </c>
      <c r="H15" s="18">
        <v>-16930</v>
      </c>
      <c r="I15" s="19" t="s">
        <v>32</v>
      </c>
    </row>
    <row r="16" spans="1:9" ht="42" x14ac:dyDescent="0.2">
      <c r="A16" s="30">
        <v>10</v>
      </c>
      <c r="B16" s="17" t="s">
        <v>33</v>
      </c>
      <c r="C16" s="30" t="s">
        <v>16</v>
      </c>
      <c r="D16" s="18">
        <v>100</v>
      </c>
      <c r="E16" s="18">
        <v>300</v>
      </c>
      <c r="F16" s="18">
        <v>-200</v>
      </c>
      <c r="G16" s="18">
        <v>-200</v>
      </c>
      <c r="H16" s="18">
        <v>-14972</v>
      </c>
      <c r="I16" s="19" t="s">
        <v>34</v>
      </c>
    </row>
    <row r="17" spans="1:9" ht="42" x14ac:dyDescent="0.2">
      <c r="A17" s="30">
        <v>11</v>
      </c>
      <c r="B17" s="17" t="s">
        <v>35</v>
      </c>
      <c r="C17" s="30" t="s">
        <v>16</v>
      </c>
      <c r="D17" s="18">
        <v>1600</v>
      </c>
      <c r="E17" s="18">
        <v>1720</v>
      </c>
      <c r="F17" s="18">
        <v>-120</v>
      </c>
      <c r="G17" s="18">
        <v>-120</v>
      </c>
      <c r="H17" s="18">
        <v>-14400</v>
      </c>
      <c r="I17" s="19" t="s">
        <v>36</v>
      </c>
    </row>
    <row r="18" spans="1:9" ht="42" x14ac:dyDescent="0.2">
      <c r="A18" s="30">
        <v>12</v>
      </c>
      <c r="B18" s="17" t="s">
        <v>37</v>
      </c>
      <c r="C18" s="30" t="s">
        <v>16</v>
      </c>
      <c r="D18" s="18">
        <v>6356</v>
      </c>
      <c r="E18" s="18">
        <v>6530</v>
      </c>
      <c r="F18" s="18">
        <v>-174</v>
      </c>
      <c r="G18" s="18">
        <v>-174</v>
      </c>
      <c r="H18" s="18">
        <v>-11826.78</v>
      </c>
      <c r="I18" s="19" t="s">
        <v>38</v>
      </c>
    </row>
    <row r="19" spans="1:9" ht="28" x14ac:dyDescent="0.2">
      <c r="A19" s="31">
        <v>13</v>
      </c>
      <c r="B19" s="20" t="s">
        <v>39</v>
      </c>
      <c r="C19" s="31" t="s">
        <v>13</v>
      </c>
      <c r="D19" s="21">
        <v>558</v>
      </c>
      <c r="E19" s="21">
        <v>557</v>
      </c>
      <c r="F19" s="21">
        <v>1</v>
      </c>
      <c r="G19" s="21">
        <v>-16</v>
      </c>
      <c r="H19" s="21">
        <v>-10932</v>
      </c>
      <c r="I19" s="22" t="s">
        <v>40</v>
      </c>
    </row>
    <row r="20" spans="1:9" ht="28" x14ac:dyDescent="0.2">
      <c r="A20" s="31">
        <v>14</v>
      </c>
      <c r="B20" s="20" t="s">
        <v>41</v>
      </c>
      <c r="C20" s="31" t="s">
        <v>13</v>
      </c>
      <c r="D20" s="21">
        <v>4397</v>
      </c>
      <c r="E20" s="21">
        <v>2794</v>
      </c>
      <c r="F20" s="21">
        <v>1603</v>
      </c>
      <c r="G20" s="21">
        <v>-1077</v>
      </c>
      <c r="H20" s="21">
        <v>-9776.5</v>
      </c>
      <c r="I20" s="22" t="s">
        <v>42</v>
      </c>
    </row>
    <row r="21" spans="1:9" ht="42" x14ac:dyDescent="0.2">
      <c r="A21" s="30">
        <v>15</v>
      </c>
      <c r="B21" s="17" t="s">
        <v>43</v>
      </c>
      <c r="C21" s="30" t="s">
        <v>16</v>
      </c>
      <c r="D21" s="18">
        <v>2695</v>
      </c>
      <c r="E21" s="18">
        <v>2715</v>
      </c>
      <c r="F21" s="18">
        <v>-20</v>
      </c>
      <c r="G21" s="18">
        <v>-20</v>
      </c>
      <c r="H21" s="18">
        <v>-6781.2</v>
      </c>
      <c r="I21" s="19" t="s">
        <v>44</v>
      </c>
    </row>
    <row r="22" spans="1:9" ht="42" x14ac:dyDescent="0.2">
      <c r="A22" s="30">
        <v>16</v>
      </c>
      <c r="B22" s="17" t="s">
        <v>45</v>
      </c>
      <c r="C22" s="30" t="s">
        <v>16</v>
      </c>
      <c r="D22" s="18">
        <v>282</v>
      </c>
      <c r="E22" s="18">
        <v>2715</v>
      </c>
      <c r="F22" s="18">
        <v>-2433</v>
      </c>
      <c r="G22" s="18">
        <v>-15</v>
      </c>
      <c r="H22" s="18">
        <v>-2746.05</v>
      </c>
      <c r="I22" s="19" t="s">
        <v>46</v>
      </c>
    </row>
    <row r="23" spans="1:9" ht="42" x14ac:dyDescent="0.2">
      <c r="A23" s="30">
        <v>17</v>
      </c>
      <c r="B23" s="17" t="s">
        <v>47</v>
      </c>
      <c r="C23" s="30" t="s">
        <v>13</v>
      </c>
      <c r="D23" s="18">
        <v>26</v>
      </c>
      <c r="E23" s="18">
        <v>32</v>
      </c>
      <c r="F23" s="18">
        <v>-6</v>
      </c>
      <c r="G23" s="18">
        <v>-3</v>
      </c>
      <c r="H23" s="18">
        <v>-2122.8000000000002</v>
      </c>
      <c r="I23" s="19" t="s">
        <v>48</v>
      </c>
    </row>
    <row r="24" spans="1:9" ht="42" x14ac:dyDescent="0.2">
      <c r="A24" s="30">
        <v>18</v>
      </c>
      <c r="B24" s="17" t="s">
        <v>49</v>
      </c>
      <c r="C24" s="30" t="s">
        <v>16</v>
      </c>
      <c r="D24" s="18">
        <v>1100</v>
      </c>
      <c r="E24" s="18">
        <v>1115</v>
      </c>
      <c r="F24" s="18">
        <v>-15</v>
      </c>
      <c r="G24" s="18">
        <v>-15</v>
      </c>
      <c r="H24" s="18">
        <v>-1376.25</v>
      </c>
      <c r="I24" s="19" t="s">
        <v>50</v>
      </c>
    </row>
    <row r="25" spans="1:9" ht="42" x14ac:dyDescent="0.2">
      <c r="A25" s="30">
        <v>19</v>
      </c>
      <c r="B25" s="17" t="s">
        <v>51</v>
      </c>
      <c r="C25" s="30" t="s">
        <v>13</v>
      </c>
      <c r="D25" s="18">
        <v>0</v>
      </c>
      <c r="E25" s="18">
        <v>40</v>
      </c>
      <c r="F25" s="18">
        <v>-40</v>
      </c>
      <c r="G25" s="18">
        <v>-40</v>
      </c>
      <c r="H25" s="18">
        <v>-920</v>
      </c>
      <c r="I25" s="19" t="s">
        <v>52</v>
      </c>
    </row>
    <row r="26" spans="1:9" ht="42" x14ac:dyDescent="0.2">
      <c r="A26" s="30">
        <v>20</v>
      </c>
      <c r="B26" s="17" t="s">
        <v>53</v>
      </c>
      <c r="C26" s="30" t="s">
        <v>16</v>
      </c>
      <c r="D26" s="18">
        <v>303.10000000000002</v>
      </c>
      <c r="E26" s="18">
        <v>304</v>
      </c>
      <c r="F26" s="18">
        <v>-0.89999999999997704</v>
      </c>
      <c r="G26" s="18">
        <v>-0.9</v>
      </c>
      <c r="H26" s="18">
        <v>-578.70000000000005</v>
      </c>
      <c r="I26" s="19" t="s">
        <v>54</v>
      </c>
    </row>
    <row r="27" spans="1:9" ht="42" x14ac:dyDescent="0.2">
      <c r="A27" s="30">
        <v>21</v>
      </c>
      <c r="B27" s="17" t="s">
        <v>55</v>
      </c>
      <c r="C27" s="30" t="s">
        <v>16</v>
      </c>
      <c r="D27" s="18">
        <v>1763.33</v>
      </c>
      <c r="E27" s="18">
        <v>2373.5</v>
      </c>
      <c r="F27" s="18">
        <v>-610.16999999999996</v>
      </c>
      <c r="G27" s="18">
        <v>-0.17</v>
      </c>
      <c r="H27" s="18">
        <v>-1.7</v>
      </c>
      <c r="I27" s="19" t="s">
        <v>56</v>
      </c>
    </row>
    <row r="28" spans="1:9" ht="42" x14ac:dyDescent="0.2">
      <c r="A28" s="30">
        <v>22</v>
      </c>
      <c r="B28" s="17" t="s">
        <v>57</v>
      </c>
      <c r="C28" s="30" t="s">
        <v>13</v>
      </c>
      <c r="D28" s="18">
        <v>236</v>
      </c>
      <c r="E28" s="18">
        <v>440</v>
      </c>
      <c r="F28" s="18">
        <v>-204</v>
      </c>
      <c r="G28" s="18">
        <v>16</v>
      </c>
      <c r="H28" s="18">
        <v>112</v>
      </c>
      <c r="I28" s="19" t="s">
        <v>58</v>
      </c>
    </row>
    <row r="29" spans="1:9" ht="42" x14ac:dyDescent="0.2">
      <c r="A29" s="30">
        <v>23</v>
      </c>
      <c r="B29" s="17" t="s">
        <v>59</v>
      </c>
      <c r="C29" s="30" t="s">
        <v>13</v>
      </c>
      <c r="D29" s="18">
        <v>277</v>
      </c>
      <c r="E29" s="18">
        <v>548</v>
      </c>
      <c r="F29" s="18">
        <v>-271</v>
      </c>
      <c r="G29" s="18">
        <v>3</v>
      </c>
      <c r="H29" s="18">
        <v>249</v>
      </c>
      <c r="I29" s="19" t="s">
        <v>60</v>
      </c>
    </row>
    <row r="30" spans="1:9" ht="28" x14ac:dyDescent="0.2">
      <c r="A30" s="31">
        <v>24</v>
      </c>
      <c r="B30" s="20" t="s">
        <v>61</v>
      </c>
      <c r="C30" s="31" t="s">
        <v>13</v>
      </c>
      <c r="D30" s="21">
        <v>2</v>
      </c>
      <c r="E30" s="21">
        <v>0</v>
      </c>
      <c r="F30" s="21">
        <v>2</v>
      </c>
      <c r="G30" s="21">
        <v>2</v>
      </c>
      <c r="H30" s="21">
        <v>317.94</v>
      </c>
      <c r="I30" s="22" t="s">
        <v>62</v>
      </c>
    </row>
    <row r="31" spans="1:9" ht="28" x14ac:dyDescent="0.2">
      <c r="A31" s="31">
        <v>25</v>
      </c>
      <c r="B31" s="20" t="s">
        <v>63</v>
      </c>
      <c r="C31" s="31" t="s">
        <v>13</v>
      </c>
      <c r="D31" s="21">
        <v>2</v>
      </c>
      <c r="E31" s="21">
        <v>0</v>
      </c>
      <c r="F31" s="21">
        <v>2</v>
      </c>
      <c r="G31" s="21">
        <v>2</v>
      </c>
      <c r="H31" s="21">
        <v>632</v>
      </c>
      <c r="I31" s="22" t="s">
        <v>62</v>
      </c>
    </row>
    <row r="32" spans="1:9" ht="28" x14ac:dyDescent="0.2">
      <c r="A32" s="31">
        <v>26</v>
      </c>
      <c r="B32" s="20" t="s">
        <v>64</v>
      </c>
      <c r="C32" s="31" t="s">
        <v>13</v>
      </c>
      <c r="D32" s="21">
        <v>6</v>
      </c>
      <c r="E32" s="21">
        <v>4</v>
      </c>
      <c r="F32" s="21">
        <v>2</v>
      </c>
      <c r="G32" s="21">
        <v>4</v>
      </c>
      <c r="H32" s="21">
        <v>1172</v>
      </c>
      <c r="I32" s="22" t="s">
        <v>62</v>
      </c>
    </row>
    <row r="33" spans="1:9" ht="28" x14ac:dyDescent="0.2">
      <c r="A33" s="31">
        <v>27</v>
      </c>
      <c r="B33" s="20" t="s">
        <v>65</v>
      </c>
      <c r="C33" s="31" t="s">
        <v>66</v>
      </c>
      <c r="D33" s="21">
        <v>6</v>
      </c>
      <c r="E33" s="21">
        <v>5</v>
      </c>
      <c r="F33" s="21">
        <v>1</v>
      </c>
      <c r="G33" s="21">
        <v>1</v>
      </c>
      <c r="H33" s="21">
        <v>1452.47</v>
      </c>
      <c r="I33" s="22" t="s">
        <v>67</v>
      </c>
    </row>
    <row r="34" spans="1:9" ht="28" x14ac:dyDescent="0.2">
      <c r="A34" s="31">
        <v>28</v>
      </c>
      <c r="B34" s="20" t="s">
        <v>68</v>
      </c>
      <c r="C34" s="31" t="s">
        <v>13</v>
      </c>
      <c r="D34" s="21">
        <v>12</v>
      </c>
      <c r="E34" s="21">
        <v>0</v>
      </c>
      <c r="F34" s="21">
        <v>12</v>
      </c>
      <c r="G34" s="21">
        <v>12</v>
      </c>
      <c r="H34" s="21">
        <v>1888.67</v>
      </c>
      <c r="I34" s="22" t="s">
        <v>69</v>
      </c>
    </row>
    <row r="35" spans="1:9" ht="28" x14ac:dyDescent="0.2">
      <c r="A35" s="31">
        <v>29</v>
      </c>
      <c r="B35" s="20" t="s">
        <v>70</v>
      </c>
      <c r="C35" s="31" t="s">
        <v>16</v>
      </c>
      <c r="D35" s="21">
        <v>25</v>
      </c>
      <c r="E35" s="21">
        <v>0</v>
      </c>
      <c r="F35" s="21">
        <v>25</v>
      </c>
      <c r="G35" s="21">
        <v>25</v>
      </c>
      <c r="H35" s="21">
        <v>2000</v>
      </c>
      <c r="I35" s="22" t="s">
        <v>71</v>
      </c>
    </row>
    <row r="36" spans="1:9" ht="28" x14ac:dyDescent="0.2">
      <c r="A36" s="31">
        <v>30</v>
      </c>
      <c r="B36" s="20" t="s">
        <v>72</v>
      </c>
      <c r="C36" s="31" t="s">
        <v>13</v>
      </c>
      <c r="D36" s="21">
        <v>1</v>
      </c>
      <c r="E36" s="21">
        <v>0</v>
      </c>
      <c r="F36" s="21">
        <v>1</v>
      </c>
      <c r="G36" s="21">
        <v>1</v>
      </c>
      <c r="H36" s="21">
        <v>3000</v>
      </c>
      <c r="I36" s="22" t="s">
        <v>40</v>
      </c>
    </row>
    <row r="37" spans="1:9" ht="26" x14ac:dyDescent="0.2">
      <c r="A37" s="32">
        <v>31</v>
      </c>
      <c r="B37" s="23" t="s">
        <v>73</v>
      </c>
      <c r="C37" s="32" t="s">
        <v>13</v>
      </c>
      <c r="D37" s="24">
        <v>0</v>
      </c>
      <c r="E37" s="24">
        <v>0</v>
      </c>
      <c r="F37" s="24">
        <v>0</v>
      </c>
      <c r="G37" s="24">
        <v>1</v>
      </c>
      <c r="H37" s="24">
        <v>3040.31</v>
      </c>
      <c r="I37" s="25" t="s">
        <v>74</v>
      </c>
    </row>
    <row r="38" spans="1:9" ht="28" x14ac:dyDescent="0.2">
      <c r="A38" s="31">
        <v>32</v>
      </c>
      <c r="B38" s="20" t="s">
        <v>75</v>
      </c>
      <c r="C38" s="31" t="s">
        <v>76</v>
      </c>
      <c r="D38" s="21">
        <v>4</v>
      </c>
      <c r="E38" s="21">
        <v>2</v>
      </c>
      <c r="F38" s="21">
        <v>2</v>
      </c>
      <c r="G38" s="21">
        <v>2</v>
      </c>
      <c r="H38" s="21">
        <v>3300</v>
      </c>
      <c r="I38" s="22" t="s">
        <v>77</v>
      </c>
    </row>
    <row r="39" spans="1:9" ht="28" x14ac:dyDescent="0.2">
      <c r="A39" s="31">
        <v>33</v>
      </c>
      <c r="B39" s="20" t="s">
        <v>78</v>
      </c>
      <c r="C39" s="31" t="s">
        <v>66</v>
      </c>
      <c r="D39" s="21">
        <v>1</v>
      </c>
      <c r="E39" s="21">
        <v>0</v>
      </c>
      <c r="F39" s="21">
        <v>1</v>
      </c>
      <c r="G39" s="21">
        <v>1</v>
      </c>
      <c r="H39" s="21">
        <v>3515.84</v>
      </c>
      <c r="I39" s="22" t="s">
        <v>67</v>
      </c>
    </row>
    <row r="40" spans="1:9" ht="28" x14ac:dyDescent="0.2">
      <c r="A40" s="31">
        <v>34</v>
      </c>
      <c r="B40" s="20" t="s">
        <v>79</v>
      </c>
      <c r="C40" s="31" t="s">
        <v>13</v>
      </c>
      <c r="D40" s="21">
        <v>42</v>
      </c>
      <c r="E40" s="21">
        <v>18</v>
      </c>
      <c r="F40" s="21">
        <v>24</v>
      </c>
      <c r="G40" s="21">
        <v>3</v>
      </c>
      <c r="H40" s="21">
        <v>3848.15</v>
      </c>
      <c r="I40" s="22" t="s">
        <v>80</v>
      </c>
    </row>
    <row r="41" spans="1:9" ht="28" x14ac:dyDescent="0.2">
      <c r="A41" s="31">
        <v>35</v>
      </c>
      <c r="B41" s="20" t="s">
        <v>81</v>
      </c>
      <c r="C41" s="31" t="s">
        <v>76</v>
      </c>
      <c r="D41" s="21">
        <v>14</v>
      </c>
      <c r="E41" s="21">
        <v>9</v>
      </c>
      <c r="F41" s="21">
        <v>5</v>
      </c>
      <c r="G41" s="21">
        <v>5</v>
      </c>
      <c r="H41" s="21">
        <v>4000</v>
      </c>
      <c r="I41" s="22" t="s">
        <v>82</v>
      </c>
    </row>
    <row r="42" spans="1:9" ht="28" x14ac:dyDescent="0.2">
      <c r="A42" s="31">
        <v>36</v>
      </c>
      <c r="B42" s="20" t="s">
        <v>83</v>
      </c>
      <c r="C42" s="31" t="s">
        <v>16</v>
      </c>
      <c r="D42" s="21">
        <v>910</v>
      </c>
      <c r="E42" s="21">
        <v>890</v>
      </c>
      <c r="F42" s="21">
        <v>20</v>
      </c>
      <c r="G42" s="21">
        <v>20</v>
      </c>
      <c r="H42" s="21">
        <v>4522.8</v>
      </c>
      <c r="I42" s="22" t="s">
        <v>84</v>
      </c>
    </row>
    <row r="43" spans="1:9" ht="28" x14ac:dyDescent="0.2">
      <c r="A43" s="31">
        <v>37</v>
      </c>
      <c r="B43" s="20" t="s">
        <v>85</v>
      </c>
      <c r="C43" s="31" t="s">
        <v>13</v>
      </c>
      <c r="D43" s="21">
        <v>2</v>
      </c>
      <c r="E43" s="21">
        <v>0</v>
      </c>
      <c r="F43" s="21">
        <v>2</v>
      </c>
      <c r="G43" s="21">
        <v>2</v>
      </c>
      <c r="H43" s="21">
        <v>4675.5</v>
      </c>
      <c r="I43" s="22" t="s">
        <v>62</v>
      </c>
    </row>
    <row r="44" spans="1:9" ht="42" x14ac:dyDescent="0.2">
      <c r="A44" s="30">
        <v>38</v>
      </c>
      <c r="B44" s="17" t="s">
        <v>86</v>
      </c>
      <c r="C44" s="30" t="s">
        <v>13</v>
      </c>
      <c r="D44" s="18">
        <v>168</v>
      </c>
      <c r="E44" s="18">
        <v>213</v>
      </c>
      <c r="F44" s="18">
        <v>-45</v>
      </c>
      <c r="G44" s="18">
        <v>55</v>
      </c>
      <c r="H44" s="18">
        <v>4687.9399999999996</v>
      </c>
      <c r="I44" s="19" t="s">
        <v>87</v>
      </c>
    </row>
    <row r="45" spans="1:9" ht="28" x14ac:dyDescent="0.2">
      <c r="A45" s="31">
        <v>39</v>
      </c>
      <c r="B45" s="20" t="s">
        <v>88</v>
      </c>
      <c r="C45" s="31" t="s">
        <v>13</v>
      </c>
      <c r="D45" s="21">
        <v>24</v>
      </c>
      <c r="E45" s="21">
        <v>0</v>
      </c>
      <c r="F45" s="21">
        <v>24</v>
      </c>
      <c r="G45" s="21">
        <v>12</v>
      </c>
      <c r="H45" s="21">
        <v>5041.2</v>
      </c>
      <c r="I45" s="22" t="s">
        <v>80</v>
      </c>
    </row>
    <row r="46" spans="1:9" ht="28" x14ac:dyDescent="0.2">
      <c r="A46" s="31">
        <v>40</v>
      </c>
      <c r="B46" s="20" t="s">
        <v>89</v>
      </c>
      <c r="C46" s="31" t="s">
        <v>16</v>
      </c>
      <c r="D46" s="21">
        <v>1018</v>
      </c>
      <c r="E46" s="21">
        <v>1014</v>
      </c>
      <c r="F46" s="21">
        <v>4</v>
      </c>
      <c r="G46" s="21">
        <v>4</v>
      </c>
      <c r="H46" s="21">
        <v>5065.68</v>
      </c>
      <c r="I46" s="22" t="s">
        <v>90</v>
      </c>
    </row>
    <row r="47" spans="1:9" ht="28" x14ac:dyDescent="0.2">
      <c r="A47" s="31">
        <v>41</v>
      </c>
      <c r="B47" s="20" t="s">
        <v>91</v>
      </c>
      <c r="C47" s="31" t="s">
        <v>66</v>
      </c>
      <c r="D47" s="21">
        <v>1</v>
      </c>
      <c r="E47" s="21">
        <v>0</v>
      </c>
      <c r="F47" s="21">
        <v>1</v>
      </c>
      <c r="G47" s="21">
        <v>1</v>
      </c>
      <c r="H47" s="21">
        <v>5137.6000000000004</v>
      </c>
      <c r="I47" s="22" t="s">
        <v>67</v>
      </c>
    </row>
    <row r="48" spans="1:9" ht="28" x14ac:dyDescent="0.2">
      <c r="A48" s="31">
        <v>42</v>
      </c>
      <c r="B48" s="20" t="s">
        <v>92</v>
      </c>
      <c r="C48" s="31" t="s">
        <v>13</v>
      </c>
      <c r="D48" s="21">
        <v>13</v>
      </c>
      <c r="E48" s="21">
        <v>9</v>
      </c>
      <c r="F48" s="21">
        <v>4</v>
      </c>
      <c r="G48" s="21">
        <v>4</v>
      </c>
      <c r="H48" s="21">
        <v>5145.6000000000004</v>
      </c>
      <c r="I48" s="22" t="s">
        <v>93</v>
      </c>
    </row>
    <row r="49" spans="1:9" ht="28" x14ac:dyDescent="0.2">
      <c r="A49" s="31">
        <v>43</v>
      </c>
      <c r="B49" s="20" t="s">
        <v>94</v>
      </c>
      <c r="C49" s="31" t="s">
        <v>13</v>
      </c>
      <c r="D49" s="21">
        <v>3</v>
      </c>
      <c r="E49" s="21">
        <v>1</v>
      </c>
      <c r="F49" s="21">
        <v>2</v>
      </c>
      <c r="G49" s="21">
        <v>2</v>
      </c>
      <c r="H49" s="21">
        <v>5806</v>
      </c>
      <c r="I49" s="22" t="s">
        <v>62</v>
      </c>
    </row>
    <row r="50" spans="1:9" ht="42" x14ac:dyDescent="0.2">
      <c r="A50" s="30">
        <v>44</v>
      </c>
      <c r="B50" s="17" t="s">
        <v>95</v>
      </c>
      <c r="C50" s="30" t="s">
        <v>16</v>
      </c>
      <c r="D50" s="18">
        <v>4634</v>
      </c>
      <c r="E50" s="18">
        <v>5044</v>
      </c>
      <c r="F50" s="18">
        <v>-410</v>
      </c>
      <c r="G50" s="18">
        <v>35</v>
      </c>
      <c r="H50" s="18">
        <v>5880</v>
      </c>
      <c r="I50" s="19" t="s">
        <v>96</v>
      </c>
    </row>
    <row r="51" spans="1:9" ht="26" x14ac:dyDescent="0.2">
      <c r="A51" s="32">
        <v>45</v>
      </c>
      <c r="B51" s="23" t="s">
        <v>97</v>
      </c>
      <c r="C51" s="32" t="s">
        <v>13</v>
      </c>
      <c r="D51" s="24">
        <v>0</v>
      </c>
      <c r="E51" s="24">
        <v>0</v>
      </c>
      <c r="F51" s="24">
        <v>0</v>
      </c>
      <c r="G51" s="24">
        <v>3</v>
      </c>
      <c r="H51" s="24">
        <v>6150</v>
      </c>
      <c r="I51" s="25" t="s">
        <v>74</v>
      </c>
    </row>
    <row r="52" spans="1:9" ht="28" x14ac:dyDescent="0.2">
      <c r="A52" s="31">
        <v>46</v>
      </c>
      <c r="B52" s="20" t="s">
        <v>98</v>
      </c>
      <c r="C52" s="31" t="s">
        <v>76</v>
      </c>
      <c r="D52" s="21">
        <v>7</v>
      </c>
      <c r="E52" s="21">
        <v>0</v>
      </c>
      <c r="F52" s="21">
        <v>7</v>
      </c>
      <c r="G52" s="21">
        <v>7</v>
      </c>
      <c r="H52" s="21">
        <v>6835.5</v>
      </c>
      <c r="I52" s="22" t="s">
        <v>99</v>
      </c>
    </row>
    <row r="53" spans="1:9" ht="28" x14ac:dyDescent="0.2">
      <c r="A53" s="31">
        <v>47</v>
      </c>
      <c r="B53" s="20" t="s">
        <v>100</v>
      </c>
      <c r="C53" s="31" t="s">
        <v>13</v>
      </c>
      <c r="D53" s="21">
        <v>1</v>
      </c>
      <c r="E53" s="21">
        <v>0</v>
      </c>
      <c r="F53" s="21">
        <v>1</v>
      </c>
      <c r="G53" s="21">
        <v>1</v>
      </c>
      <c r="H53" s="21">
        <v>7150.5</v>
      </c>
      <c r="I53" s="22" t="s">
        <v>40</v>
      </c>
    </row>
    <row r="54" spans="1:9" ht="28" x14ac:dyDescent="0.2">
      <c r="A54" s="31">
        <v>48</v>
      </c>
      <c r="B54" s="20" t="s">
        <v>101</v>
      </c>
      <c r="C54" s="31" t="s">
        <v>13</v>
      </c>
      <c r="D54" s="21">
        <v>4</v>
      </c>
      <c r="E54" s="21">
        <v>3</v>
      </c>
      <c r="F54" s="21">
        <v>1</v>
      </c>
      <c r="G54" s="21">
        <v>1</v>
      </c>
      <c r="H54" s="21">
        <v>7504.17</v>
      </c>
      <c r="I54" s="22" t="s">
        <v>40</v>
      </c>
    </row>
    <row r="55" spans="1:9" ht="28" x14ac:dyDescent="0.2">
      <c r="A55" s="31">
        <v>49</v>
      </c>
      <c r="B55" s="20" t="s">
        <v>102</v>
      </c>
      <c r="C55" s="31" t="s">
        <v>16</v>
      </c>
      <c r="D55" s="21">
        <v>35.479999999999997</v>
      </c>
      <c r="E55" s="21">
        <v>25</v>
      </c>
      <c r="F55" s="21">
        <v>10.48</v>
      </c>
      <c r="G55" s="21">
        <v>1.48</v>
      </c>
      <c r="H55" s="21">
        <v>8250</v>
      </c>
      <c r="I55" s="22" t="s">
        <v>103</v>
      </c>
    </row>
    <row r="56" spans="1:9" ht="28" x14ac:dyDescent="0.2">
      <c r="A56" s="31">
        <v>50</v>
      </c>
      <c r="B56" s="20" t="s">
        <v>104</v>
      </c>
      <c r="C56" s="31" t="s">
        <v>13</v>
      </c>
      <c r="D56" s="21">
        <v>1863</v>
      </c>
      <c r="E56" s="21">
        <v>1758</v>
      </c>
      <c r="F56" s="21">
        <v>105</v>
      </c>
      <c r="G56" s="21">
        <v>105</v>
      </c>
      <c r="H56" s="21">
        <v>8405.0499999999993</v>
      </c>
      <c r="I56" s="22" t="s">
        <v>105</v>
      </c>
    </row>
    <row r="57" spans="1:9" ht="42" x14ac:dyDescent="0.2">
      <c r="A57" s="30">
        <v>51</v>
      </c>
      <c r="B57" s="17" t="s">
        <v>106</v>
      </c>
      <c r="C57" s="30" t="s">
        <v>76</v>
      </c>
      <c r="D57" s="18">
        <v>274</v>
      </c>
      <c r="E57" s="18">
        <v>286</v>
      </c>
      <c r="F57" s="18">
        <v>-12</v>
      </c>
      <c r="G57" s="18">
        <v>4</v>
      </c>
      <c r="H57" s="18">
        <v>8600</v>
      </c>
      <c r="I57" s="19" t="s">
        <v>107</v>
      </c>
    </row>
    <row r="58" spans="1:9" ht="28" x14ac:dyDescent="0.2">
      <c r="A58" s="31">
        <v>52</v>
      </c>
      <c r="B58" s="20" t="s">
        <v>108</v>
      </c>
      <c r="C58" s="31" t="s">
        <v>13</v>
      </c>
      <c r="D58" s="21">
        <v>7</v>
      </c>
      <c r="E58" s="21">
        <v>3</v>
      </c>
      <c r="F58" s="21">
        <v>4</v>
      </c>
      <c r="G58" s="21">
        <v>2</v>
      </c>
      <c r="H58" s="21">
        <v>9081.02</v>
      </c>
      <c r="I58" s="22" t="s">
        <v>93</v>
      </c>
    </row>
    <row r="59" spans="1:9" ht="28" x14ac:dyDescent="0.2">
      <c r="A59" s="31">
        <v>53</v>
      </c>
      <c r="B59" s="20" t="s">
        <v>109</v>
      </c>
      <c r="C59" s="31" t="s">
        <v>16</v>
      </c>
      <c r="D59" s="21">
        <v>3750</v>
      </c>
      <c r="E59" s="21">
        <v>3692</v>
      </c>
      <c r="F59" s="21">
        <v>58</v>
      </c>
      <c r="G59" s="21">
        <v>198</v>
      </c>
      <c r="H59" s="21">
        <v>9266.4</v>
      </c>
      <c r="I59" s="22" t="s">
        <v>110</v>
      </c>
    </row>
    <row r="60" spans="1:9" ht="28" x14ac:dyDescent="0.2">
      <c r="A60" s="31">
        <v>54</v>
      </c>
      <c r="B60" s="20" t="s">
        <v>111</v>
      </c>
      <c r="C60" s="31" t="s">
        <v>13</v>
      </c>
      <c r="D60" s="21">
        <v>215</v>
      </c>
      <c r="E60" s="21">
        <v>189</v>
      </c>
      <c r="F60" s="21">
        <v>26</v>
      </c>
      <c r="G60" s="21">
        <v>26</v>
      </c>
      <c r="H60" s="21">
        <v>10010</v>
      </c>
      <c r="I60" s="22" t="s">
        <v>112</v>
      </c>
    </row>
    <row r="61" spans="1:9" ht="28" x14ac:dyDescent="0.2">
      <c r="A61" s="31">
        <v>55</v>
      </c>
      <c r="B61" s="20" t="s">
        <v>113</v>
      </c>
      <c r="C61" s="31" t="s">
        <v>13</v>
      </c>
      <c r="D61" s="21">
        <v>6</v>
      </c>
      <c r="E61" s="21">
        <v>0</v>
      </c>
      <c r="F61" s="21">
        <v>6</v>
      </c>
      <c r="G61" s="21">
        <v>6</v>
      </c>
      <c r="H61" s="21">
        <v>10062.74</v>
      </c>
      <c r="I61" s="22" t="s">
        <v>114</v>
      </c>
    </row>
    <row r="62" spans="1:9" ht="28" x14ac:dyDescent="0.2">
      <c r="A62" s="31">
        <v>56</v>
      </c>
      <c r="B62" s="20" t="s">
        <v>115</v>
      </c>
      <c r="C62" s="31" t="s">
        <v>13</v>
      </c>
      <c r="D62" s="21">
        <v>17</v>
      </c>
      <c r="E62" s="21">
        <v>0</v>
      </c>
      <c r="F62" s="21">
        <v>17</v>
      </c>
      <c r="G62" s="21">
        <v>17</v>
      </c>
      <c r="H62" s="21">
        <v>10426</v>
      </c>
      <c r="I62" s="22" t="s">
        <v>116</v>
      </c>
    </row>
    <row r="63" spans="1:9" ht="28" x14ac:dyDescent="0.2">
      <c r="A63" s="31">
        <v>57</v>
      </c>
      <c r="B63" s="20" t="s">
        <v>117</v>
      </c>
      <c r="C63" s="31" t="s">
        <v>16</v>
      </c>
      <c r="D63" s="21">
        <v>34</v>
      </c>
      <c r="E63" s="21">
        <v>20</v>
      </c>
      <c r="F63" s="21">
        <v>14</v>
      </c>
      <c r="G63" s="21">
        <v>14</v>
      </c>
      <c r="H63" s="21">
        <v>10549</v>
      </c>
      <c r="I63" s="22" t="s">
        <v>118</v>
      </c>
    </row>
    <row r="64" spans="1:9" ht="26" x14ac:dyDescent="0.2">
      <c r="A64" s="32">
        <v>58</v>
      </c>
      <c r="B64" s="23" t="s">
        <v>79</v>
      </c>
      <c r="C64" s="32" t="s">
        <v>13</v>
      </c>
      <c r="D64" s="24">
        <v>0</v>
      </c>
      <c r="E64" s="24">
        <v>0</v>
      </c>
      <c r="F64" s="24">
        <v>0</v>
      </c>
      <c r="G64" s="24">
        <v>7</v>
      </c>
      <c r="H64" s="24">
        <v>11034.59</v>
      </c>
      <c r="I64" s="25" t="s">
        <v>74</v>
      </c>
    </row>
    <row r="65" spans="1:9" ht="28" x14ac:dyDescent="0.2">
      <c r="A65" s="31">
        <v>59</v>
      </c>
      <c r="B65" s="20" t="s">
        <v>119</v>
      </c>
      <c r="C65" s="31" t="s">
        <v>13</v>
      </c>
      <c r="D65" s="21">
        <v>14</v>
      </c>
      <c r="E65" s="21">
        <v>2</v>
      </c>
      <c r="F65" s="21">
        <v>12</v>
      </c>
      <c r="G65" s="21">
        <v>12</v>
      </c>
      <c r="H65" s="21">
        <v>11423.76</v>
      </c>
      <c r="I65" s="22" t="s">
        <v>69</v>
      </c>
    </row>
    <row r="66" spans="1:9" ht="28" x14ac:dyDescent="0.2">
      <c r="A66" s="31">
        <v>60</v>
      </c>
      <c r="B66" s="20" t="s">
        <v>120</v>
      </c>
      <c r="C66" s="31" t="s">
        <v>13</v>
      </c>
      <c r="D66" s="21">
        <v>11</v>
      </c>
      <c r="E66" s="21">
        <v>0</v>
      </c>
      <c r="F66" s="21">
        <v>11</v>
      </c>
      <c r="G66" s="21">
        <v>12</v>
      </c>
      <c r="H66" s="21">
        <v>12181.05</v>
      </c>
      <c r="I66" s="22" t="s">
        <v>121</v>
      </c>
    </row>
    <row r="67" spans="1:9" ht="28" x14ac:dyDescent="0.2">
      <c r="A67" s="31">
        <v>61</v>
      </c>
      <c r="B67" s="20" t="s">
        <v>122</v>
      </c>
      <c r="C67" s="31" t="s">
        <v>13</v>
      </c>
      <c r="D67" s="21">
        <v>62</v>
      </c>
      <c r="E67" s="21">
        <v>54</v>
      </c>
      <c r="F67" s="21">
        <v>8</v>
      </c>
      <c r="G67" s="21">
        <v>1</v>
      </c>
      <c r="H67" s="21">
        <v>12965</v>
      </c>
      <c r="I67" s="22" t="s">
        <v>123</v>
      </c>
    </row>
    <row r="68" spans="1:9" ht="28" x14ac:dyDescent="0.2">
      <c r="A68" s="31">
        <v>62</v>
      </c>
      <c r="B68" s="20" t="s">
        <v>124</v>
      </c>
      <c r="C68" s="31" t="s">
        <v>16</v>
      </c>
      <c r="D68" s="21">
        <v>330</v>
      </c>
      <c r="E68" s="21">
        <v>0</v>
      </c>
      <c r="F68" s="21">
        <v>330</v>
      </c>
      <c r="G68" s="21">
        <v>330</v>
      </c>
      <c r="H68" s="21">
        <v>13200</v>
      </c>
      <c r="I68" s="22" t="s">
        <v>125</v>
      </c>
    </row>
    <row r="69" spans="1:9" x14ac:dyDescent="0.2">
      <c r="A69" s="32">
        <v>63</v>
      </c>
      <c r="B69" s="23" t="s">
        <v>126</v>
      </c>
      <c r="C69" s="32" t="s">
        <v>66</v>
      </c>
      <c r="D69" s="24">
        <v>2</v>
      </c>
      <c r="E69" s="24">
        <v>2</v>
      </c>
      <c r="F69" s="24">
        <v>0</v>
      </c>
      <c r="G69" s="24">
        <v>123</v>
      </c>
      <c r="H69" s="24">
        <v>15145.03</v>
      </c>
      <c r="I69" s="26" t="s">
        <v>127</v>
      </c>
    </row>
    <row r="70" spans="1:9" ht="28" x14ac:dyDescent="0.2">
      <c r="A70" s="31">
        <v>64</v>
      </c>
      <c r="B70" s="20" t="s">
        <v>128</v>
      </c>
      <c r="C70" s="31" t="s">
        <v>13</v>
      </c>
      <c r="D70" s="21">
        <v>12</v>
      </c>
      <c r="E70" s="21">
        <v>8</v>
      </c>
      <c r="F70" s="21">
        <v>4</v>
      </c>
      <c r="G70" s="21">
        <v>3</v>
      </c>
      <c r="H70" s="21">
        <v>16336.8</v>
      </c>
      <c r="I70" s="22" t="s">
        <v>93</v>
      </c>
    </row>
    <row r="71" spans="1:9" ht="28" x14ac:dyDescent="0.2">
      <c r="A71" s="31">
        <v>65</v>
      </c>
      <c r="B71" s="20" t="s">
        <v>129</v>
      </c>
      <c r="C71" s="31" t="s">
        <v>13</v>
      </c>
      <c r="D71" s="21">
        <v>40</v>
      </c>
      <c r="E71" s="21">
        <v>24</v>
      </c>
      <c r="F71" s="21">
        <v>16</v>
      </c>
      <c r="G71" s="21">
        <v>28</v>
      </c>
      <c r="H71" s="21">
        <v>24225.200000000001</v>
      </c>
      <c r="I71" s="22" t="s">
        <v>130</v>
      </c>
    </row>
    <row r="72" spans="1:9" ht="28" x14ac:dyDescent="0.2">
      <c r="A72" s="31">
        <v>66</v>
      </c>
      <c r="B72" s="20" t="s">
        <v>131</v>
      </c>
      <c r="C72" s="31" t="s">
        <v>13</v>
      </c>
      <c r="D72" s="21">
        <v>198</v>
      </c>
      <c r="E72" s="21">
        <v>176</v>
      </c>
      <c r="F72" s="21">
        <v>22</v>
      </c>
      <c r="G72" s="21">
        <v>44</v>
      </c>
      <c r="H72" s="21">
        <v>24275</v>
      </c>
      <c r="I72" s="22" t="s">
        <v>132</v>
      </c>
    </row>
    <row r="73" spans="1:9" ht="28" x14ac:dyDescent="0.2">
      <c r="A73" s="31">
        <v>67</v>
      </c>
      <c r="B73" s="20" t="s">
        <v>133</v>
      </c>
      <c r="C73" s="31" t="s">
        <v>13</v>
      </c>
      <c r="D73" s="21">
        <v>61</v>
      </c>
      <c r="E73" s="21">
        <v>39</v>
      </c>
      <c r="F73" s="21">
        <v>22</v>
      </c>
      <c r="G73" s="21">
        <v>26</v>
      </c>
      <c r="H73" s="21">
        <v>26780</v>
      </c>
      <c r="I73" s="22" t="s">
        <v>132</v>
      </c>
    </row>
    <row r="74" spans="1:9" ht="28" x14ac:dyDescent="0.2">
      <c r="A74" s="31">
        <v>68</v>
      </c>
      <c r="B74" s="20" t="s">
        <v>134</v>
      </c>
      <c r="C74" s="31" t="s">
        <v>13</v>
      </c>
      <c r="D74" s="21">
        <v>124</v>
      </c>
      <c r="E74" s="21">
        <v>104</v>
      </c>
      <c r="F74" s="21">
        <v>20</v>
      </c>
      <c r="G74" s="21">
        <v>10</v>
      </c>
      <c r="H74" s="21">
        <v>27689.45</v>
      </c>
      <c r="I74" s="22" t="s">
        <v>135</v>
      </c>
    </row>
    <row r="75" spans="1:9" ht="28" x14ac:dyDescent="0.2">
      <c r="A75" s="31">
        <v>69</v>
      </c>
      <c r="B75" s="20" t="s">
        <v>136</v>
      </c>
      <c r="C75" s="31" t="s">
        <v>13</v>
      </c>
      <c r="D75" s="21">
        <v>107</v>
      </c>
      <c r="E75" s="21">
        <v>10</v>
      </c>
      <c r="F75" s="21">
        <v>97</v>
      </c>
      <c r="G75" s="21">
        <v>77</v>
      </c>
      <c r="H75" s="21">
        <v>28556.5</v>
      </c>
      <c r="I75" s="22" t="s">
        <v>137</v>
      </c>
    </row>
    <row r="76" spans="1:9" ht="28" x14ac:dyDescent="0.2">
      <c r="A76" s="31">
        <v>70</v>
      </c>
      <c r="B76" s="20" t="s">
        <v>138</v>
      </c>
      <c r="C76" s="31" t="s">
        <v>13</v>
      </c>
      <c r="D76" s="21">
        <v>45</v>
      </c>
      <c r="E76" s="21">
        <v>42</v>
      </c>
      <c r="F76" s="21">
        <v>3</v>
      </c>
      <c r="G76" s="21">
        <v>3</v>
      </c>
      <c r="H76" s="21">
        <v>28950</v>
      </c>
      <c r="I76" s="22" t="s">
        <v>139</v>
      </c>
    </row>
    <row r="77" spans="1:9" ht="28" x14ac:dyDescent="0.2">
      <c r="A77" s="31">
        <v>71</v>
      </c>
      <c r="B77" s="20" t="s">
        <v>140</v>
      </c>
      <c r="C77" s="31" t="s">
        <v>76</v>
      </c>
      <c r="D77" s="21">
        <v>5.91</v>
      </c>
      <c r="E77" s="21">
        <v>2</v>
      </c>
      <c r="F77" s="21">
        <v>3.91</v>
      </c>
      <c r="G77" s="21">
        <v>0.21</v>
      </c>
      <c r="H77" s="21">
        <v>33730.17</v>
      </c>
      <c r="I77" s="22" t="s">
        <v>141</v>
      </c>
    </row>
    <row r="78" spans="1:9" ht="28" x14ac:dyDescent="0.2">
      <c r="A78" s="31">
        <v>72</v>
      </c>
      <c r="B78" s="20" t="s">
        <v>142</v>
      </c>
      <c r="C78" s="31" t="s">
        <v>13</v>
      </c>
      <c r="D78" s="21">
        <v>2146</v>
      </c>
      <c r="E78" s="21">
        <v>300</v>
      </c>
      <c r="F78" s="21">
        <v>1846</v>
      </c>
      <c r="G78" s="21">
        <v>1846</v>
      </c>
      <c r="H78" s="21">
        <v>38055</v>
      </c>
      <c r="I78" s="22" t="s">
        <v>143</v>
      </c>
    </row>
    <row r="79" spans="1:9" ht="28" x14ac:dyDescent="0.2">
      <c r="A79" s="31">
        <v>73</v>
      </c>
      <c r="B79" s="20" t="s">
        <v>144</v>
      </c>
      <c r="C79" s="31" t="s">
        <v>16</v>
      </c>
      <c r="D79" s="21">
        <v>8682</v>
      </c>
      <c r="E79" s="21">
        <v>8289</v>
      </c>
      <c r="F79" s="21">
        <v>393</v>
      </c>
      <c r="G79" s="21">
        <v>393</v>
      </c>
      <c r="H79" s="21">
        <v>39683.17</v>
      </c>
      <c r="I79" s="22" t="s">
        <v>145</v>
      </c>
    </row>
    <row r="80" spans="1:9" ht="26" x14ac:dyDescent="0.2">
      <c r="A80" s="32">
        <v>74</v>
      </c>
      <c r="B80" s="23" t="s">
        <v>146</v>
      </c>
      <c r="C80" s="32" t="s">
        <v>13</v>
      </c>
      <c r="D80" s="24">
        <v>0</v>
      </c>
      <c r="E80" s="24">
        <v>0</v>
      </c>
      <c r="F80" s="24">
        <v>0</v>
      </c>
      <c r="G80" s="24">
        <v>350</v>
      </c>
      <c r="H80" s="24">
        <v>43645</v>
      </c>
      <c r="I80" s="25" t="s">
        <v>74</v>
      </c>
    </row>
    <row r="81" spans="1:9" ht="28" x14ac:dyDescent="0.2">
      <c r="A81" s="31">
        <v>75</v>
      </c>
      <c r="B81" s="20" t="s">
        <v>147</v>
      </c>
      <c r="C81" s="31" t="s">
        <v>13</v>
      </c>
      <c r="D81" s="21">
        <v>16</v>
      </c>
      <c r="E81" s="21">
        <v>0</v>
      </c>
      <c r="F81" s="21">
        <v>16</v>
      </c>
      <c r="G81" s="21">
        <v>16</v>
      </c>
      <c r="H81" s="21">
        <v>51630</v>
      </c>
      <c r="I81" s="22" t="s">
        <v>130</v>
      </c>
    </row>
    <row r="82" spans="1:9" ht="28" x14ac:dyDescent="0.2">
      <c r="A82" s="31">
        <v>76</v>
      </c>
      <c r="B82" s="20" t="s">
        <v>148</v>
      </c>
      <c r="C82" s="31" t="s">
        <v>16</v>
      </c>
      <c r="D82" s="21">
        <v>1300</v>
      </c>
      <c r="E82" s="21">
        <v>300</v>
      </c>
      <c r="F82" s="21">
        <v>1000</v>
      </c>
      <c r="G82" s="21">
        <v>1000</v>
      </c>
      <c r="H82" s="21">
        <v>52730</v>
      </c>
      <c r="I82" s="22" t="s">
        <v>149</v>
      </c>
    </row>
    <row r="83" spans="1:9" ht="28" x14ac:dyDescent="0.2">
      <c r="A83" s="31">
        <v>77</v>
      </c>
      <c r="B83" s="20" t="s">
        <v>150</v>
      </c>
      <c r="C83" s="31" t="s">
        <v>13</v>
      </c>
      <c r="D83" s="21">
        <v>1125</v>
      </c>
      <c r="E83" s="21">
        <v>822</v>
      </c>
      <c r="F83" s="21">
        <v>303</v>
      </c>
      <c r="G83" s="21">
        <v>423</v>
      </c>
      <c r="H83" s="21">
        <v>57902</v>
      </c>
      <c r="I83" s="22" t="s">
        <v>151</v>
      </c>
    </row>
    <row r="84" spans="1:9" ht="28" x14ac:dyDescent="0.2">
      <c r="A84" s="31">
        <v>78</v>
      </c>
      <c r="B84" s="20" t="s">
        <v>152</v>
      </c>
      <c r="C84" s="31" t="s">
        <v>13</v>
      </c>
      <c r="D84" s="21">
        <v>58</v>
      </c>
      <c r="E84" s="21">
        <v>5</v>
      </c>
      <c r="F84" s="21">
        <v>53</v>
      </c>
      <c r="G84" s="21">
        <v>43</v>
      </c>
      <c r="H84" s="21">
        <v>61613.25</v>
      </c>
      <c r="I84" s="22" t="s">
        <v>153</v>
      </c>
    </row>
    <row r="85" spans="1:9" ht="28" x14ac:dyDescent="0.2">
      <c r="A85" s="31">
        <v>79</v>
      </c>
      <c r="B85" s="20" t="s">
        <v>154</v>
      </c>
      <c r="C85" s="31" t="s">
        <v>16</v>
      </c>
      <c r="D85" s="21">
        <v>1038</v>
      </c>
      <c r="E85" s="21">
        <v>850</v>
      </c>
      <c r="F85" s="21">
        <v>188</v>
      </c>
      <c r="G85" s="21">
        <v>188</v>
      </c>
      <c r="H85" s="21">
        <v>63998.96</v>
      </c>
      <c r="I85" s="22" t="s">
        <v>155</v>
      </c>
    </row>
    <row r="86" spans="1:9" ht="28" x14ac:dyDescent="0.2">
      <c r="A86" s="31">
        <v>80</v>
      </c>
      <c r="B86" s="20" t="s">
        <v>156</v>
      </c>
      <c r="C86" s="31" t="s">
        <v>16</v>
      </c>
      <c r="D86" s="21">
        <v>1243</v>
      </c>
      <c r="E86" s="21">
        <v>1125</v>
      </c>
      <c r="F86" s="21">
        <v>118</v>
      </c>
      <c r="G86" s="21">
        <v>138</v>
      </c>
      <c r="H86" s="21">
        <v>76358.16</v>
      </c>
      <c r="I86" s="22" t="s">
        <v>157</v>
      </c>
    </row>
    <row r="87" spans="1:9" ht="28" x14ac:dyDescent="0.2">
      <c r="A87" s="31">
        <v>81</v>
      </c>
      <c r="B87" s="20" t="s">
        <v>158</v>
      </c>
      <c r="C87" s="31" t="s">
        <v>16</v>
      </c>
      <c r="D87" s="21">
        <v>876.96</v>
      </c>
      <c r="E87" s="21">
        <v>856.04</v>
      </c>
      <c r="F87" s="21">
        <v>20.9199999999997</v>
      </c>
      <c r="G87" s="21">
        <v>6.34</v>
      </c>
      <c r="H87" s="21">
        <v>93786.73</v>
      </c>
      <c r="I87" s="22" t="s">
        <v>159</v>
      </c>
    </row>
    <row r="88" spans="1:9" ht="28" x14ac:dyDescent="0.2">
      <c r="A88" s="31">
        <v>82</v>
      </c>
      <c r="B88" s="20" t="s">
        <v>160</v>
      </c>
      <c r="C88" s="31" t="s">
        <v>13</v>
      </c>
      <c r="D88" s="21">
        <v>26</v>
      </c>
      <c r="E88" s="21">
        <v>6</v>
      </c>
      <c r="F88" s="21">
        <v>20</v>
      </c>
      <c r="G88" s="21">
        <v>20</v>
      </c>
      <c r="H88" s="21">
        <v>128012.82</v>
      </c>
      <c r="I88" s="22" t="s">
        <v>135</v>
      </c>
    </row>
    <row r="89" spans="1:9" ht="28" x14ac:dyDescent="0.2">
      <c r="A89" s="31">
        <v>83</v>
      </c>
      <c r="B89" s="20" t="s">
        <v>161</v>
      </c>
      <c r="C89" s="31" t="s">
        <v>76</v>
      </c>
      <c r="D89" s="21">
        <v>25</v>
      </c>
      <c r="E89" s="21">
        <v>21</v>
      </c>
      <c r="F89" s="21">
        <v>4</v>
      </c>
      <c r="G89" s="21">
        <v>2</v>
      </c>
      <c r="H89" s="21">
        <v>145336</v>
      </c>
      <c r="I89" s="22" t="s">
        <v>162</v>
      </c>
    </row>
    <row r="90" spans="1:9" ht="28" x14ac:dyDescent="0.2">
      <c r="A90" s="31">
        <v>84</v>
      </c>
      <c r="B90" s="20" t="s">
        <v>163</v>
      </c>
      <c r="C90" s="31" t="s">
        <v>16</v>
      </c>
      <c r="D90" s="21">
        <v>8400</v>
      </c>
      <c r="E90" s="21">
        <v>0</v>
      </c>
      <c r="F90" s="21">
        <v>8400</v>
      </c>
      <c r="G90" s="21">
        <v>8400</v>
      </c>
      <c r="H90" s="21">
        <v>172872</v>
      </c>
      <c r="I90" s="22" t="s">
        <v>164</v>
      </c>
    </row>
    <row r="91" spans="1:9" ht="42" x14ac:dyDescent="0.2">
      <c r="A91" s="30">
        <v>85</v>
      </c>
      <c r="B91" s="17" t="s">
        <v>165</v>
      </c>
      <c r="C91" s="30" t="s">
        <v>13</v>
      </c>
      <c r="D91" s="18">
        <v>2327</v>
      </c>
      <c r="E91" s="18">
        <v>2361</v>
      </c>
      <c r="F91" s="18">
        <v>-34</v>
      </c>
      <c r="G91" s="18">
        <v>84</v>
      </c>
      <c r="H91" s="18">
        <v>199374.1</v>
      </c>
      <c r="I91" s="19" t="s">
        <v>166</v>
      </c>
    </row>
    <row r="92" spans="1:9" ht="28" x14ac:dyDescent="0.2">
      <c r="A92" s="31">
        <v>86</v>
      </c>
      <c r="B92" s="20" t="s">
        <v>167</v>
      </c>
      <c r="C92" s="31" t="s">
        <v>16</v>
      </c>
      <c r="D92" s="21">
        <v>6400</v>
      </c>
      <c r="E92" s="21">
        <v>400</v>
      </c>
      <c r="F92" s="21">
        <v>6000</v>
      </c>
      <c r="G92" s="21">
        <v>6000</v>
      </c>
      <c r="H92" s="21">
        <v>205568</v>
      </c>
      <c r="I92" s="22" t="s">
        <v>168</v>
      </c>
    </row>
    <row r="93" spans="1:9" ht="42" x14ac:dyDescent="0.2">
      <c r="A93" s="30">
        <v>87</v>
      </c>
      <c r="B93" s="17" t="s">
        <v>169</v>
      </c>
      <c r="C93" s="30" t="s">
        <v>16</v>
      </c>
      <c r="D93" s="18">
        <v>46994.66</v>
      </c>
      <c r="E93" s="18">
        <v>55839</v>
      </c>
      <c r="F93" s="18">
        <v>-8844.34</v>
      </c>
      <c r="G93" s="18">
        <v>2555.66</v>
      </c>
      <c r="H93" s="18">
        <v>205936.85</v>
      </c>
      <c r="I93" s="19" t="s">
        <v>170</v>
      </c>
    </row>
    <row r="94" spans="1:9" ht="28" x14ac:dyDescent="0.2">
      <c r="A94" s="31">
        <v>88</v>
      </c>
      <c r="B94" s="20" t="s">
        <v>171</v>
      </c>
      <c r="C94" s="31" t="s">
        <v>13</v>
      </c>
      <c r="D94" s="21">
        <v>352</v>
      </c>
      <c r="E94" s="21">
        <v>220</v>
      </c>
      <c r="F94" s="21">
        <v>132</v>
      </c>
      <c r="G94" s="21">
        <v>132</v>
      </c>
      <c r="H94" s="21">
        <v>264000</v>
      </c>
      <c r="I94" s="22" t="s">
        <v>172</v>
      </c>
    </row>
    <row r="95" spans="1:9" ht="28" x14ac:dyDescent="0.2">
      <c r="A95" s="31">
        <v>89</v>
      </c>
      <c r="B95" s="20" t="s">
        <v>173</v>
      </c>
      <c r="C95" s="31" t="s">
        <v>174</v>
      </c>
      <c r="D95" s="21">
        <v>21788.9</v>
      </c>
      <c r="E95" s="21">
        <v>17886.650000000001</v>
      </c>
      <c r="F95" s="21">
        <v>3902.24999999999</v>
      </c>
      <c r="G95" s="21">
        <v>5559.15</v>
      </c>
      <c r="H95" s="21">
        <v>303769.05</v>
      </c>
      <c r="I95" s="22" t="s">
        <v>175</v>
      </c>
    </row>
    <row r="96" spans="1:9" ht="28" x14ac:dyDescent="0.2">
      <c r="A96" s="31">
        <v>90</v>
      </c>
      <c r="B96" s="20" t="s">
        <v>176</v>
      </c>
      <c r="C96" s="31" t="s">
        <v>16</v>
      </c>
      <c r="D96" s="21">
        <v>26900</v>
      </c>
      <c r="E96" s="21">
        <v>200</v>
      </c>
      <c r="F96" s="21">
        <v>26700</v>
      </c>
      <c r="G96" s="21">
        <v>26700</v>
      </c>
      <c r="H96" s="21">
        <v>310711.25</v>
      </c>
      <c r="I96" s="22" t="s">
        <v>177</v>
      </c>
    </row>
    <row r="97" spans="1:9" ht="28" x14ac:dyDescent="0.2">
      <c r="A97" s="31">
        <v>91</v>
      </c>
      <c r="B97" s="20" t="s">
        <v>178</v>
      </c>
      <c r="C97" s="31" t="s">
        <v>76</v>
      </c>
      <c r="D97" s="21">
        <v>1793</v>
      </c>
      <c r="E97" s="21">
        <v>585</v>
      </c>
      <c r="F97" s="21">
        <v>1208</v>
      </c>
      <c r="G97" s="21">
        <v>1212</v>
      </c>
      <c r="H97" s="21">
        <v>311859.78000000003</v>
      </c>
      <c r="I97" s="22" t="s">
        <v>179</v>
      </c>
    </row>
    <row r="98" spans="1:9" ht="28" x14ac:dyDescent="0.2">
      <c r="A98" s="31">
        <v>92</v>
      </c>
      <c r="B98" s="20" t="s">
        <v>180</v>
      </c>
      <c r="C98" s="31" t="s">
        <v>13</v>
      </c>
      <c r="D98" s="21">
        <v>46</v>
      </c>
      <c r="E98" s="21">
        <v>20</v>
      </c>
      <c r="F98" s="21">
        <v>26</v>
      </c>
      <c r="G98" s="21">
        <v>26</v>
      </c>
      <c r="H98" s="21">
        <v>342550</v>
      </c>
      <c r="I98" s="22" t="s">
        <v>112</v>
      </c>
    </row>
    <row r="99" spans="1:9" ht="28" x14ac:dyDescent="0.2">
      <c r="A99" s="31">
        <v>93</v>
      </c>
      <c r="B99" s="20" t="s">
        <v>181</v>
      </c>
      <c r="C99" s="31" t="s">
        <v>13</v>
      </c>
      <c r="D99" s="21">
        <v>3352</v>
      </c>
      <c r="E99" s="21">
        <v>1732</v>
      </c>
      <c r="F99" s="21">
        <v>1620</v>
      </c>
      <c r="G99" s="21">
        <v>1480</v>
      </c>
      <c r="H99" s="21">
        <v>1221629.25</v>
      </c>
      <c r="I99" s="22" t="s">
        <v>182</v>
      </c>
    </row>
    <row r="102" spans="1:9" x14ac:dyDescent="0.2">
      <c r="B102" s="27" t="s">
        <v>183</v>
      </c>
    </row>
    <row r="103" spans="1:9" ht="22.25" customHeight="1" x14ac:dyDescent="0.2">
      <c r="B103" s="28" t="s">
        <v>184</v>
      </c>
      <c r="C103" s="28"/>
      <c r="D103" s="28"/>
      <c r="E103" s="28"/>
      <c r="F103" s="28"/>
      <c r="G103" s="28"/>
      <c r="H103" s="28"/>
      <c r="I103" s="28"/>
    </row>
    <row r="104" spans="1:9" ht="32.75" customHeight="1" x14ac:dyDescent="0.2">
      <c r="B104" s="28" t="s">
        <v>185</v>
      </c>
      <c r="C104" s="28"/>
      <c r="D104" s="28"/>
      <c r="E104" s="28"/>
      <c r="F104" s="28"/>
      <c r="G104" s="28"/>
      <c r="H104" s="28"/>
      <c r="I104" s="28"/>
    </row>
    <row r="105" spans="1:9" ht="15" customHeight="1" x14ac:dyDescent="0.2">
      <c r="B105" s="28" t="s">
        <v>186</v>
      </c>
      <c r="C105" s="28"/>
      <c r="D105" s="28"/>
      <c r="E105" s="28"/>
      <c r="F105" s="28"/>
      <c r="G105" s="28"/>
      <c r="H105" s="28"/>
      <c r="I105" s="28"/>
    </row>
    <row r="106" spans="1:9" ht="22.25" customHeight="1" x14ac:dyDescent="0.2">
      <c r="B106" s="28" t="s">
        <v>187</v>
      </c>
      <c r="C106" s="28"/>
      <c r="D106" s="28"/>
      <c r="E106" s="28"/>
      <c r="F106" s="28"/>
      <c r="G106" s="28"/>
      <c r="H106" s="28"/>
      <c r="I106" s="28"/>
    </row>
    <row r="107" spans="1:9" ht="15" customHeight="1" x14ac:dyDescent="0.2">
      <c r="B107" s="28" t="s">
        <v>188</v>
      </c>
      <c r="C107" s="28"/>
      <c r="D107" s="28"/>
      <c r="E107" s="28"/>
      <c r="F107" s="28"/>
      <c r="G107" s="28"/>
      <c r="H107" s="28"/>
      <c r="I107" s="28"/>
    </row>
  </sheetData>
  <mergeCells count="5">
    <mergeCell ref="B103:I103"/>
    <mergeCell ref="B104:I104"/>
    <mergeCell ref="B105:I105"/>
    <mergeCell ref="B106:I106"/>
    <mergeCell ref="B107:I107"/>
  </mergeCells>
  <hyperlinks>
    <hyperlink ref="B7" r:id="rId1" location="'1.%20BBT%20Tap%20Off%20Box%20(Bus%20Plug)'!A1" xr:uid="{00000000-0004-0000-0000-000000000000}"/>
    <hyperlink ref="B8" r:id="rId2" location="'2.%20Cbl%2095%20sq%20mm%20x%201C%20Cu%20flexibl'!A1" xr:uid="{00000000-0004-0000-0000-000001000000}"/>
    <hyperlink ref="B9" r:id="rId3" location="'3.%20MS%20Steel%20-%20(Ton)'!A1" xr:uid="{00000000-0004-0000-0000-000002000000}"/>
    <hyperlink ref="B10" r:id="rId4" location="'4.%20BBT%20End%20feed%20box%20bus%20bar'!A1" xr:uid="{00000000-0004-0000-0000-000003000000}"/>
    <hyperlink ref="B11" r:id="rId5" location="'5.%20Cbl%2016sqmm%20X%204Core%20Cu.%20Arm'!A1" xr:uid="{00000000-0004-0000-0000-000004000000}"/>
    <hyperlink ref="B12" r:id="rId6" location="'6.%20Cbl%2035%20sq%20mm%20X%201C%20cu%20flexibl'!A1" xr:uid="{00000000-0004-0000-0000-000005000000}"/>
    <hyperlink ref="B13" r:id="rId7" location="'7.%20Cable%20Tray%2050%20MM'!A1" xr:uid="{00000000-0004-0000-0000-000006000000}"/>
    <hyperlink ref="B14" r:id="rId8" location="'8.%20Insulating%20Rubber%20Mat%201100%20V'!A1" xr:uid="{00000000-0004-0000-0000-000007000000}"/>
    <hyperlink ref="B15" r:id="rId9" location="'9.%20Cbl%20HT%20End%20Termination'!A1" xr:uid="{00000000-0004-0000-0000-000008000000}"/>
    <hyperlink ref="B16" r:id="rId10" location="'10.%20Cbl%206%20sq%20mm%20X%201C%20cu%20flexibl'!A1" xr:uid="{00000000-0004-0000-0000-000009000000}"/>
    <hyperlink ref="B17" r:id="rId11" location="'11.%2050%20mm%20G.I%20Flexible%20conduit%20'!A1" xr:uid="{00000000-0004-0000-0000-00000A000000}"/>
    <hyperlink ref="B18" r:id="rId12" location="'12.%20Cbl%201.5%20sq%20mm%20x%203C%20Cu%20flexi'!A1" xr:uid="{00000000-0004-0000-0000-00000B000000}"/>
    <hyperlink ref="B19" r:id="rId13" location="'13.%20BBT%20Hanger'!A1" xr:uid="{00000000-0004-0000-0000-00000C000000}"/>
    <hyperlink ref="B20" r:id="rId14" location="'14.%20Fastner's'!A1" xr:uid="{00000000-0004-0000-0000-00000D000000}"/>
    <hyperlink ref="B21" r:id="rId15" location="'15.%20Cbl%204%20sq%20mm%20X%205C%20Cu%20arm'!A1" xr:uid="{00000000-0004-0000-0000-00000E000000}"/>
    <hyperlink ref="B22" r:id="rId16" location="'16.%20Cbl%204%20Sq%20MM%20X%204C%20SQ%20MM%20Cu.%20'!A1" xr:uid="{00000000-0004-0000-0000-00000F000000}"/>
    <hyperlink ref="B23" r:id="rId17" location="'17.%20CONTACTOR'!A1" xr:uid="{00000000-0004-0000-0000-000010000000}"/>
    <hyperlink ref="B24" r:id="rId18" location="'18.%20Cbl%201.5%20sq%20mm%20x%204C%20Cu%20flexi'!A1" xr:uid="{00000000-0004-0000-0000-000011000000}"/>
    <hyperlink ref="B25" r:id="rId19" location="'19.%206%20sq%20mm%20Cu%20flexible%20green%20w'!A1" xr:uid="{00000000-0004-0000-0000-000012000000}"/>
    <hyperlink ref="B26" r:id="rId20" location="'20.%2025X3%20MM%20Cu.%20earthing%20strips'!A1" xr:uid="{00000000-0004-0000-0000-000013000000}"/>
    <hyperlink ref="B27" r:id="rId21" location="'21.%208%20SWG%20GI%20wire'!A1" xr:uid="{00000000-0004-0000-0000-000014000000}"/>
    <hyperlink ref="B28" r:id="rId22" location="'22.%20PG%20Gland%20PG-11%20Cbl%20OD%2005.0%20'!A1" xr:uid="{00000000-0004-0000-0000-000015000000}"/>
    <hyperlink ref="B29" r:id="rId23" location="'23.%20DC%20Gland%20DBW-02%20Cbl%20OD%2018.5'!A1" xr:uid="{00000000-0004-0000-0000-000016000000}"/>
    <hyperlink ref="B30" r:id="rId24" location="'24.%20MCB%2020A%201P'!A1" xr:uid="{00000000-0004-0000-0000-000017000000}"/>
    <hyperlink ref="B31" r:id="rId25" location="'25.%20DC%20Gland%20DBW-09%20Cbl%20OD%2036.6'!A1" xr:uid="{00000000-0004-0000-0000-000018000000}"/>
    <hyperlink ref="B32" r:id="rId26" location="'26.%20DC%20Gland%20DBW-07%20Cbl%20OD%2030.0'!A1" xr:uid="{00000000-0004-0000-0000-000019000000}"/>
    <hyperlink ref="B33" r:id="rId27" location="'27.%20MCB%2040A%204P'!A1" xr:uid="{00000000-0004-0000-0000-00001A000000}"/>
    <hyperlink ref="B34" r:id="rId28" location="'28.%20MCB%206A%201P'!A1" xr:uid="{00000000-0004-0000-0000-00001B000000}"/>
    <hyperlink ref="B35" r:id="rId29" location="'29.%20Cable%20Tray%20Growmate'!A1" xr:uid="{00000000-0004-0000-0000-00001C000000}"/>
    <hyperlink ref="B36" r:id="rId30" location="'30.%20LTG%20Emergency%20Light'!A1" xr:uid="{00000000-0004-0000-0000-00001D000000}"/>
    <hyperlink ref="B37" r:id="rId31" location="'31.%20Vigi%2063A%204P'!A1" xr:uid="{00000000-0004-0000-0000-00001E000000}"/>
    <hyperlink ref="B38" r:id="rId32" location="'32.%20BBT%20Wall%20Frame%20Assembly'!A1" xr:uid="{00000000-0004-0000-0000-00001F000000}"/>
    <hyperlink ref="B39" r:id="rId33" location="'33.%20Vigi%2063A%202P'!A1" xr:uid="{00000000-0004-0000-0000-000020000000}"/>
    <hyperlink ref="B40" r:id="rId34" location="'34.%20RCCB%2040A%202P'!A1" xr:uid="{00000000-0004-0000-0000-000021000000}"/>
    <hyperlink ref="B41" r:id="rId35" location="'35.%20Lightning%20Arrester'!A1" xr:uid="{00000000-0004-0000-0000-000022000000}"/>
    <hyperlink ref="B42" r:id="rId36" location="'36.%20Cbl%204%20SQ%20MM%20X%204C%20Cu.%20ARM'!A1" xr:uid="{00000000-0004-0000-0000-000023000000}"/>
    <hyperlink ref="B43" r:id="rId37" location="'37.%20Vigi%2025A%201PN'!A1" xr:uid="{00000000-0004-0000-0000-000024000000}"/>
    <hyperlink ref="B44" r:id="rId38" location="'38.%20DC%20Gland%20DBW-04%20Cbl%20OD%2023.0'!A1" xr:uid="{00000000-0004-0000-0000-000025000000}"/>
    <hyperlink ref="B45" r:id="rId39" location="'39.%20MCB%2016A%202P'!A1" xr:uid="{00000000-0004-0000-0000-000026000000}"/>
    <hyperlink ref="B46" r:id="rId40" location="'40.%20Cbl%2035%20X%203.5C%20sq%20mm%20Cu%20Arm'!A1" xr:uid="{00000000-0004-0000-0000-000027000000}"/>
    <hyperlink ref="B47" r:id="rId41" location="'41.%20LV516302'!A1" xr:uid="{00000000-0004-0000-0000-000028000000}"/>
    <hyperlink ref="B48" r:id="rId42" location="'42.%2012%20way%20SPN%20DD%20DB'!A1" xr:uid="{00000000-0004-0000-0000-000029000000}"/>
    <hyperlink ref="B49" r:id="rId43" location="'43.%20BBT%20End%20cover%20for%20bus%20bar'!A1" xr:uid="{00000000-0004-0000-0000-00002A000000}"/>
    <hyperlink ref="B50" r:id="rId44" location="'44.%2050X6%20MM%20HDGI%20earthing%20strip'!A1" xr:uid="{00000000-0004-0000-0000-00002B000000}"/>
    <hyperlink ref="B51" r:id="rId45" location="'45.%20Vigi%2016A%201PN'!A1" xr:uid="{00000000-0004-0000-0000-00002C000000}"/>
    <hyperlink ref="B52" r:id="rId46" location="'46.%20Spreader'!A1" xr:uid="{00000000-0004-0000-0000-00002D000000}"/>
    <hyperlink ref="B53" r:id="rId47" location="'47.%2008%20way%20VTPN%20DD%20DB'!A1" xr:uid="{00000000-0004-0000-0000-00002E000000}"/>
    <hyperlink ref="B54" r:id="rId48" location="'48.%2012%20way%20TPN%20DD%20DB'!A1" xr:uid="{00000000-0004-0000-0000-00002F000000}"/>
    <hyperlink ref="B55" r:id="rId49" location="'49.%20BBT%20Canopy'!A1" xr:uid="{00000000-0004-0000-0000-000030000000}"/>
    <hyperlink ref="B56" r:id="rId50" location="'50.%20Conector'!A1" xr:uid="{00000000-0004-0000-0000-000031000000}"/>
    <hyperlink ref="B57" r:id="rId51" location="'51.%20Earthing%20Pit%20Material'!A1" xr:uid="{00000000-0004-0000-0000-000032000000}"/>
    <hyperlink ref="B58" r:id="rId52" location="'52.%206%20WAY%20TPN%20DD%20DB'!A1" xr:uid="{00000000-0004-0000-0000-000033000000}"/>
    <hyperlink ref="B59" r:id="rId53" location="'53.%2025X3%20mm%20HDGI%20earthing%20strip'!A1" xr:uid="{00000000-0004-0000-0000-000034000000}"/>
    <hyperlink ref="B60" r:id="rId54" location="'54.%20Junction%20Box%20With%20terminal%20'!A1" xr:uid="{00000000-0004-0000-0000-000035000000}"/>
    <hyperlink ref="B61" r:id="rId55" location="'55.%20RCCB%2025A%204P'!A1" xr:uid="{00000000-0004-0000-0000-000036000000}"/>
    <hyperlink ref="B62" r:id="rId56" location="'56.%20DC%20Gland%20DBW-012%20Cbl%20OD%2061.'!A1" xr:uid="{00000000-0004-0000-0000-000037000000}"/>
    <hyperlink ref="B63" r:id="rId57" location="'57.%20Cbl%2070%20sq%20mm%20X%201C%20cu%20flexib'!A1" xr:uid="{00000000-0004-0000-0000-000038000000}"/>
    <hyperlink ref="B64" r:id="rId58" location="'58.%20RCCB%2040A%202P'!A1" xr:uid="{00000000-0004-0000-0000-000039000000}"/>
    <hyperlink ref="B65" r:id="rId59" location="'59.%2032A%203P+N+E%20Plug'!A1" xr:uid="{00000000-0004-0000-0000-00003A000000}"/>
    <hyperlink ref="B66" r:id="rId60" location="'60.%20MCB%2032A%204P'!A1" xr:uid="{00000000-0004-0000-0000-00003B000000}"/>
    <hyperlink ref="B67" r:id="rId61" location="'61.%20BBT%2090%20Deg%20Elbow'!A1" xr:uid="{00000000-0004-0000-0000-00003C000000}"/>
    <hyperlink ref="B68" r:id="rId62" location="'62.%20Threaded%20Rod'!A1" xr:uid="{00000000-0004-0000-0000-00003D000000}"/>
    <hyperlink ref="B69" r:id="rId63" location="'63.%20MCB%2010A%201P'!A1" xr:uid="{00000000-0004-0000-0000-00003E000000}"/>
    <hyperlink ref="B70" r:id="rId64" location="'64.%208%20way%20TPN%20DD%20DB'!A1" xr:uid="{00000000-0004-0000-0000-00003F000000}"/>
    <hyperlink ref="B71" r:id="rId65" location="'65.%20DC%20Gland%20DBW-010%20Cbl%20OD%2046.'!A1" xr:uid="{00000000-0004-0000-0000-000040000000}"/>
    <hyperlink ref="B72" r:id="rId66" location="'66.%20Street%20Light%20Pole'!A1" xr:uid="{00000000-0004-0000-0000-000041000000}"/>
    <hyperlink ref="B73" r:id="rId67" location="'67.%20Exhaust%20Fan'!A1" xr:uid="{00000000-0004-0000-0000-000042000000}"/>
    <hyperlink ref="B74" r:id="rId68" location="'68.%20Maintenance%20Free%20Earthing'!A1" xr:uid="{00000000-0004-0000-0000-000043000000}"/>
    <hyperlink ref="B75" r:id="rId69" location="'69.%20Chemical%20Bags%20For%20Earthing'!A1" xr:uid="{00000000-0004-0000-0000-000044000000}"/>
    <hyperlink ref="B76" r:id="rId70" location="'70.%20750%20mm%20dia%20wall%20mount%20type%20'!A1" xr:uid="{00000000-0004-0000-0000-000045000000}"/>
    <hyperlink ref="B77" r:id="rId71" location="'71.%20BBT%20Copper%20termination%20link'!A1" xr:uid="{00000000-0004-0000-0000-000046000000}"/>
    <hyperlink ref="B78" r:id="rId72" location="'72.%20Insulator%20with%20Hardware'!A1" xr:uid="{00000000-0004-0000-0000-000047000000}"/>
    <hyperlink ref="B79" r:id="rId73" location="'73.%20Cbl%202.5%20sq%20mm%20x%203C%20Cu%20flexi'!A1" xr:uid="{00000000-0004-0000-0000-000048000000}"/>
    <hyperlink ref="B80" r:id="rId74" location="'74.%20MCB%2032A%201P'!A1" xr:uid="{00000000-0004-0000-0000-000049000000}"/>
    <hyperlink ref="B81" r:id="rId75" location="'75.%20BATTERY'!A1" xr:uid="{00000000-0004-0000-0000-00004A000000}"/>
    <hyperlink ref="B82" r:id="rId76" location="'76.%20Wire%204%20Sq%20MM%20X%201C%20CU%20Flex.'!A1" xr:uid="{00000000-0004-0000-0000-00004B000000}"/>
    <hyperlink ref="B83" r:id="rId77" location="'77.%20Junction%20box'!A1" xr:uid="{00000000-0004-0000-0000-00004C000000}"/>
    <hyperlink ref="B84" r:id="rId78" location="'78.%20CHAMBER%20&amp;%20COVER'!A1" xr:uid="{00000000-0004-0000-0000-00004D000000}"/>
    <hyperlink ref="B85" r:id="rId79" location="'79.%20Cbl%206%20SQ%20MM%20X%204C%20Cu.%20ARM'!A1" xr:uid="{00000000-0004-0000-0000-00004E000000}"/>
    <hyperlink ref="B86" r:id="rId80" location="'80.%20Cbl%2010%20Sq%20MM%20X%204C%20Cu.%20ARM'!A1" xr:uid="{00000000-0004-0000-0000-00004F000000}"/>
    <hyperlink ref="B87" r:id="rId81" location="'81.%20BBT%20Straight%20Feeder'!A1" xr:uid="{00000000-0004-0000-0000-000050000000}"/>
    <hyperlink ref="B88" r:id="rId82" location="'82.%20BBT%20Copper%20or%20Aluminium%20ter'!A1" xr:uid="{00000000-0004-0000-0000-000051000000}"/>
    <hyperlink ref="B89" r:id="rId83" location="'83.%20BBT%20Copper%20Flexible'!A1" xr:uid="{00000000-0004-0000-0000-000052000000}"/>
    <hyperlink ref="B90" r:id="rId84" location="'84.%20Wire%201.5%20Sq%20MM%20X%201C%20Cu.%20Fle'!A1" xr:uid="{00000000-0004-0000-0000-000053000000}"/>
    <hyperlink ref="B91" r:id="rId85" location="'85.%20LTG%20Lighting%20Fixture'!A1" xr:uid="{00000000-0004-0000-0000-000054000000}"/>
    <hyperlink ref="B92" r:id="rId86" location="'86.%20Wire%201C%20X%202.5%20SQ%20MM%20CU%20Flex'!A1" xr:uid="{00000000-0004-0000-0000-000055000000}"/>
    <hyperlink ref="B93" r:id="rId87" location="'87.%20Circuit%20Wire'!A1" xr:uid="{00000000-0004-0000-0000-000056000000}"/>
    <hyperlink ref="B94" r:id="rId88" location="'88.%20BBT%20Plug%20in%20hole%20for%20Bus%20ba'!A1" xr:uid="{00000000-0004-0000-0000-000057000000}"/>
    <hyperlink ref="B95" r:id="rId89" location="'89.%20MS%20Steel%20In%20-%20(Kg)'!A1" xr:uid="{00000000-0004-0000-0000-000058000000}"/>
    <hyperlink ref="B96" r:id="rId90" location="'90.%20Wire%201%20Sq%20MM%20X%201C%20CU%20Flex.'!A1" xr:uid="{00000000-0004-0000-0000-000059000000}"/>
    <hyperlink ref="B97" r:id="rId91" location="'91.%20Cable%20Gland%20with%20Hood'!A1" xr:uid="{00000000-0004-0000-0000-00005A000000}"/>
    <hyperlink ref="B98" r:id="rId92" location="'92.%20Electrical%20Panel'!A1" xr:uid="{00000000-0004-0000-0000-00005B000000}"/>
    <hyperlink ref="B99" r:id="rId93" location="'93.%20MCB'!A1" xr:uid="{00000000-0004-0000-0000-00005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zoomScale="190" zoomScaleNormal="100" workbookViewId="0">
      <selection sqref="A1:F11"/>
    </sheetView>
  </sheetViews>
  <sheetFormatPr baseColWidth="10" defaultColWidth="8.6640625" defaultRowHeight="15" x14ac:dyDescent="0.2"/>
  <cols>
    <col min="1" max="1" width="18" customWidth="1"/>
    <col min="2" max="2" width="35.1640625" bestFit="1" customWidth="1"/>
    <col min="3" max="3" width="14" customWidth="1"/>
    <col min="4" max="4" width="18" customWidth="1"/>
    <col min="5" max="5" width="37.33203125" bestFit="1" customWidth="1"/>
    <col min="6" max="6" width="14" customWidth="1"/>
  </cols>
  <sheetData>
    <row r="1" spans="1:8" ht="17" x14ac:dyDescent="0.2">
      <c r="A1" s="4" t="s">
        <v>189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198</v>
      </c>
      <c r="B5" s="6" t="s">
        <v>199</v>
      </c>
      <c r="C5" s="9">
        <v>55</v>
      </c>
      <c r="D5" s="6" t="s">
        <v>200</v>
      </c>
      <c r="E5" s="6" t="s">
        <v>201</v>
      </c>
      <c r="F5" s="9">
        <v>55</v>
      </c>
    </row>
    <row r="6" spans="1:8" x14ac:dyDescent="0.2">
      <c r="A6" s="6" t="s">
        <v>202</v>
      </c>
      <c r="B6" s="6" t="s">
        <v>203</v>
      </c>
      <c r="C6" s="9">
        <v>16</v>
      </c>
      <c r="D6" s="6" t="s">
        <v>204</v>
      </c>
      <c r="E6" s="6" t="s">
        <v>201</v>
      </c>
      <c r="F6" s="9">
        <v>8</v>
      </c>
    </row>
    <row r="7" spans="1:8" x14ac:dyDescent="0.2">
      <c r="A7" s="6" t="s">
        <v>205</v>
      </c>
      <c r="B7" s="6" t="s">
        <v>203</v>
      </c>
      <c r="C7" s="9">
        <v>7</v>
      </c>
      <c r="D7" s="6" t="s">
        <v>206</v>
      </c>
      <c r="E7" s="6" t="s">
        <v>207</v>
      </c>
      <c r="F7" s="9">
        <v>7</v>
      </c>
    </row>
    <row r="8" spans="1:8" x14ac:dyDescent="0.2">
      <c r="A8" s="6"/>
      <c r="B8" s="6"/>
      <c r="C8" s="9"/>
      <c r="D8" s="6" t="s">
        <v>208</v>
      </c>
      <c r="E8" s="6" t="s">
        <v>201</v>
      </c>
      <c r="F8" s="9">
        <v>1</v>
      </c>
    </row>
    <row r="10" spans="1:8" x14ac:dyDescent="0.2">
      <c r="A10" s="10" t="s">
        <v>209</v>
      </c>
      <c r="B10" s="11"/>
      <c r="C10" s="12">
        <f>SUM(C5:C8)</f>
        <v>78</v>
      </c>
      <c r="D10" s="11"/>
      <c r="E10" s="11"/>
      <c r="F10" s="12">
        <f>SUM(F5:F8)</f>
        <v>71</v>
      </c>
    </row>
    <row r="11" spans="1:8" x14ac:dyDescent="0.2">
      <c r="A11" s="2" t="s">
        <v>210</v>
      </c>
      <c r="B11" s="2"/>
      <c r="C11" s="2"/>
      <c r="D11" s="2"/>
      <c r="E11" s="2"/>
      <c r="F11" s="13">
        <f>F10-C10</f>
        <v>-7</v>
      </c>
    </row>
  </sheetData>
  <mergeCells count="3">
    <mergeCell ref="A1:F1"/>
    <mergeCell ref="A2:F2"/>
    <mergeCell ref="A11:E11"/>
  </mergeCells>
  <hyperlinks>
    <hyperlink ref="H1" r:id="rId1" location="'Summary'!A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175" zoomScaleNormal="100" workbookViewId="0">
      <selection sqref="A1:F13"/>
    </sheetView>
  </sheetViews>
  <sheetFormatPr baseColWidth="10" defaultColWidth="8.6640625" defaultRowHeight="15" x14ac:dyDescent="0.2"/>
  <cols>
    <col min="1" max="1" width="18" customWidth="1"/>
    <col min="2" max="2" width="35.1640625" bestFit="1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211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s="14" customFormat="1" ht="28" x14ac:dyDescent="0.2">
      <c r="A4" s="5" t="s">
        <v>192</v>
      </c>
      <c r="B4" s="5" t="s">
        <v>193</v>
      </c>
      <c r="C4" s="5" t="s">
        <v>194</v>
      </c>
      <c r="D4" s="5" t="s">
        <v>195</v>
      </c>
      <c r="E4" s="5" t="s">
        <v>196</v>
      </c>
      <c r="F4" s="5" t="s">
        <v>197</v>
      </c>
    </row>
    <row r="5" spans="1:8" x14ac:dyDescent="0.2">
      <c r="A5" s="33" t="s">
        <v>212</v>
      </c>
      <c r="B5" s="6" t="s">
        <v>203</v>
      </c>
      <c r="C5" s="9">
        <v>1680</v>
      </c>
      <c r="D5" s="6" t="s">
        <v>213</v>
      </c>
      <c r="E5" s="6" t="s">
        <v>214</v>
      </c>
      <c r="F5" s="9">
        <v>2600</v>
      </c>
    </row>
    <row r="6" spans="1:8" x14ac:dyDescent="0.2">
      <c r="A6" s="33" t="s">
        <v>215</v>
      </c>
      <c r="B6" s="6" t="s">
        <v>203</v>
      </c>
      <c r="C6" s="9">
        <v>1000</v>
      </c>
      <c r="D6" s="6" t="s">
        <v>216</v>
      </c>
      <c r="E6" s="6" t="s">
        <v>217</v>
      </c>
      <c r="F6" s="9">
        <v>1000</v>
      </c>
    </row>
    <row r="7" spans="1:8" x14ac:dyDescent="0.2">
      <c r="A7" s="33" t="s">
        <v>218</v>
      </c>
      <c r="B7" s="6" t="s">
        <v>203</v>
      </c>
      <c r="C7" s="9">
        <v>920</v>
      </c>
      <c r="D7" s="6"/>
      <c r="E7" s="6"/>
      <c r="F7" s="9"/>
    </row>
    <row r="8" spans="1:8" x14ac:dyDescent="0.2">
      <c r="A8" s="33" t="s">
        <v>219</v>
      </c>
      <c r="B8" s="6" t="s">
        <v>203</v>
      </c>
      <c r="C8" s="9">
        <v>104</v>
      </c>
      <c r="D8" s="6"/>
      <c r="E8" s="6"/>
      <c r="F8" s="9"/>
    </row>
    <row r="9" spans="1:8" x14ac:dyDescent="0.2">
      <c r="A9" s="33" t="s">
        <v>205</v>
      </c>
      <c r="B9" s="6" t="s">
        <v>203</v>
      </c>
      <c r="C9" s="9">
        <v>72</v>
      </c>
      <c r="D9" s="6"/>
      <c r="E9" s="6"/>
      <c r="F9" s="9"/>
    </row>
    <row r="10" spans="1:8" x14ac:dyDescent="0.2">
      <c r="A10" s="33" t="s">
        <v>220</v>
      </c>
      <c r="B10" s="6" t="s">
        <v>221</v>
      </c>
      <c r="C10" s="9">
        <v>60</v>
      </c>
      <c r="D10" s="6"/>
      <c r="E10" s="6"/>
      <c r="F10" s="9"/>
    </row>
    <row r="12" spans="1:8" x14ac:dyDescent="0.2">
      <c r="A12" s="10" t="s">
        <v>209</v>
      </c>
      <c r="B12" s="11"/>
      <c r="C12" s="12">
        <f>SUM(C5:C10)</f>
        <v>3836</v>
      </c>
      <c r="D12" s="11"/>
      <c r="E12" s="11"/>
      <c r="F12" s="12">
        <f>SUM(F5:F10)</f>
        <v>3600</v>
      </c>
    </row>
    <row r="13" spans="1:8" x14ac:dyDescent="0.2">
      <c r="A13" s="2" t="s">
        <v>210</v>
      </c>
      <c r="B13" s="2"/>
      <c r="C13" s="2"/>
      <c r="D13" s="2"/>
      <c r="E13" s="2"/>
      <c r="F13" s="13">
        <f>F12-C12</f>
        <v>-236</v>
      </c>
    </row>
  </sheetData>
  <mergeCells count="3">
    <mergeCell ref="A1:F1"/>
    <mergeCell ref="A2:F2"/>
    <mergeCell ref="A13:E13"/>
  </mergeCells>
  <hyperlinks>
    <hyperlink ref="H1" r:id="rId1" location="'Summary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zoomScale="175" zoomScaleNormal="100" workbookViewId="0">
      <selection sqref="A1:F12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222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218</v>
      </c>
      <c r="B5" s="6" t="s">
        <v>203</v>
      </c>
      <c r="C5" s="9">
        <v>3.36</v>
      </c>
      <c r="D5" s="6" t="s">
        <v>223</v>
      </c>
      <c r="E5" s="6" t="s">
        <v>224</v>
      </c>
      <c r="F5" s="9">
        <v>2</v>
      </c>
    </row>
    <row r="6" spans="1:8" x14ac:dyDescent="0.2">
      <c r="A6" s="6" t="s">
        <v>225</v>
      </c>
      <c r="B6" s="6" t="s">
        <v>226</v>
      </c>
      <c r="C6" s="9">
        <v>2.44</v>
      </c>
      <c r="D6" s="6" t="s">
        <v>227</v>
      </c>
      <c r="E6" s="6" t="s">
        <v>228</v>
      </c>
      <c r="F6" s="9">
        <v>0.17699999999999999</v>
      </c>
    </row>
    <row r="7" spans="1:8" x14ac:dyDescent="0.2">
      <c r="A7" s="6" t="s">
        <v>229</v>
      </c>
      <c r="B7" s="6" t="s">
        <v>203</v>
      </c>
      <c r="C7" s="9">
        <v>2</v>
      </c>
      <c r="D7" s="6"/>
      <c r="E7" s="6"/>
      <c r="F7" s="9"/>
    </row>
    <row r="8" spans="1:8" x14ac:dyDescent="0.2">
      <c r="A8" s="6" t="s">
        <v>230</v>
      </c>
      <c r="B8" s="6" t="s">
        <v>226</v>
      </c>
      <c r="C8" s="9">
        <v>0.17699999999999999</v>
      </c>
      <c r="D8" s="6"/>
      <c r="E8" s="6"/>
      <c r="F8" s="9"/>
    </row>
    <row r="9" spans="1:8" x14ac:dyDescent="0.2">
      <c r="A9" s="6" t="s">
        <v>231</v>
      </c>
      <c r="B9" s="6" t="s">
        <v>203</v>
      </c>
      <c r="C9" s="9">
        <v>0.123</v>
      </c>
      <c r="D9" s="6"/>
      <c r="E9" s="6"/>
      <c r="F9" s="9"/>
    </row>
    <row r="11" spans="1:8" x14ac:dyDescent="0.2">
      <c r="A11" s="10" t="s">
        <v>209</v>
      </c>
      <c r="B11" s="11"/>
      <c r="C11" s="12">
        <f>SUM(C5:C9)</f>
        <v>8.1</v>
      </c>
      <c r="D11" s="11"/>
      <c r="E11" s="11"/>
      <c r="F11" s="12">
        <f>SUM(F5:F9)</f>
        <v>2.177</v>
      </c>
    </row>
    <row r="12" spans="1:8" x14ac:dyDescent="0.2">
      <c r="A12" s="2" t="s">
        <v>210</v>
      </c>
      <c r="B12" s="2"/>
      <c r="C12" s="2"/>
      <c r="D12" s="2"/>
      <c r="E12" s="2"/>
      <c r="F12" s="13">
        <f>F11-C11</f>
        <v>-5.923</v>
      </c>
    </row>
  </sheetData>
  <mergeCells count="3">
    <mergeCell ref="A1:F1"/>
    <mergeCell ref="A2:F2"/>
    <mergeCell ref="A12:E12"/>
  </mergeCells>
  <hyperlinks>
    <hyperlink ref="H1" r:id="rId1" location="'Summary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showGridLines="0" zoomScale="167" zoomScaleNormal="100" workbookViewId="0">
      <selection sqref="A1:F1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232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233</v>
      </c>
      <c r="B5" s="6" t="s">
        <v>234</v>
      </c>
      <c r="C5" s="9">
        <v>14</v>
      </c>
      <c r="D5" s="6" t="s">
        <v>235</v>
      </c>
      <c r="E5" s="6" t="s">
        <v>236</v>
      </c>
      <c r="F5" s="9">
        <v>14</v>
      </c>
    </row>
    <row r="6" spans="1:8" x14ac:dyDescent="0.2">
      <c r="A6" s="6" t="s">
        <v>237</v>
      </c>
      <c r="B6" s="6" t="s">
        <v>238</v>
      </c>
      <c r="C6" s="9">
        <v>14</v>
      </c>
      <c r="D6" s="6" t="s">
        <v>239</v>
      </c>
      <c r="E6" s="6" t="s">
        <v>236</v>
      </c>
      <c r="F6" s="9">
        <v>14</v>
      </c>
    </row>
    <row r="7" spans="1:8" x14ac:dyDescent="0.2">
      <c r="A7" s="6" t="s">
        <v>240</v>
      </c>
      <c r="B7" s="6" t="s">
        <v>241</v>
      </c>
      <c r="C7" s="9">
        <v>2</v>
      </c>
      <c r="D7" s="6" t="s">
        <v>242</v>
      </c>
      <c r="E7" s="6" t="s">
        <v>236</v>
      </c>
      <c r="F7" s="9">
        <v>2</v>
      </c>
    </row>
    <row r="8" spans="1:8" x14ac:dyDescent="0.2">
      <c r="A8" s="6" t="s">
        <v>243</v>
      </c>
      <c r="B8" s="6" t="s">
        <v>244</v>
      </c>
      <c r="C8" s="9">
        <v>2</v>
      </c>
      <c r="D8" s="6" t="s">
        <v>245</v>
      </c>
      <c r="E8" s="6" t="s">
        <v>201</v>
      </c>
      <c r="F8" s="9">
        <v>2</v>
      </c>
    </row>
    <row r="9" spans="1:8" x14ac:dyDescent="0.2">
      <c r="A9" s="6" t="s">
        <v>246</v>
      </c>
      <c r="B9" s="6" t="s">
        <v>244</v>
      </c>
      <c r="C9" s="9">
        <v>2</v>
      </c>
      <c r="D9" s="6" t="s">
        <v>247</v>
      </c>
      <c r="E9" s="6" t="s">
        <v>236</v>
      </c>
      <c r="F9" s="9">
        <v>1</v>
      </c>
    </row>
    <row r="10" spans="1:8" x14ac:dyDescent="0.2">
      <c r="A10" s="6" t="s">
        <v>248</v>
      </c>
      <c r="B10" s="6" t="s">
        <v>234</v>
      </c>
      <c r="C10" s="9">
        <v>1</v>
      </c>
      <c r="D10" s="6" t="s">
        <v>249</v>
      </c>
      <c r="E10" s="6" t="s">
        <v>236</v>
      </c>
      <c r="F10" s="9">
        <v>1</v>
      </c>
    </row>
    <row r="11" spans="1:8" x14ac:dyDescent="0.2">
      <c r="A11" s="6" t="s">
        <v>250</v>
      </c>
      <c r="B11" s="6" t="s">
        <v>199</v>
      </c>
      <c r="C11" s="9">
        <v>1</v>
      </c>
      <c r="D11" s="6" t="s">
        <v>251</v>
      </c>
      <c r="E11" s="6" t="s">
        <v>236</v>
      </c>
      <c r="F11" s="9">
        <v>1</v>
      </c>
    </row>
    <row r="12" spans="1:8" x14ac:dyDescent="0.2">
      <c r="A12" s="6" t="s">
        <v>231</v>
      </c>
      <c r="B12" s="6" t="s">
        <v>203</v>
      </c>
      <c r="C12" s="9">
        <v>1</v>
      </c>
      <c r="D12" s="6" t="s">
        <v>252</v>
      </c>
      <c r="E12" s="6" t="s">
        <v>236</v>
      </c>
      <c r="F12" s="9">
        <v>1</v>
      </c>
    </row>
    <row r="13" spans="1:8" x14ac:dyDescent="0.2">
      <c r="A13" s="6" t="s">
        <v>253</v>
      </c>
      <c r="B13" s="6" t="s">
        <v>254</v>
      </c>
      <c r="C13" s="9">
        <v>1</v>
      </c>
      <c r="D13" s="6" t="s">
        <v>255</v>
      </c>
      <c r="E13" s="6" t="s">
        <v>236</v>
      </c>
      <c r="F13" s="9">
        <v>1</v>
      </c>
    </row>
    <row r="14" spans="1:8" x14ac:dyDescent="0.2">
      <c r="A14" s="6" t="s">
        <v>256</v>
      </c>
      <c r="B14" s="6" t="s">
        <v>254</v>
      </c>
      <c r="C14" s="9">
        <v>1</v>
      </c>
      <c r="D14" s="6" t="s">
        <v>257</v>
      </c>
      <c r="E14" s="6" t="s">
        <v>236</v>
      </c>
      <c r="F14" s="9">
        <v>1</v>
      </c>
    </row>
    <row r="15" spans="1:8" x14ac:dyDescent="0.2">
      <c r="A15" s="6" t="s">
        <v>258</v>
      </c>
      <c r="B15" s="6" t="s">
        <v>226</v>
      </c>
      <c r="C15" s="9">
        <v>1</v>
      </c>
      <c r="D15" s="6" t="s">
        <v>259</v>
      </c>
      <c r="E15" s="6" t="s">
        <v>236</v>
      </c>
      <c r="F15" s="9">
        <v>1</v>
      </c>
    </row>
    <row r="16" spans="1:8" x14ac:dyDescent="0.2">
      <c r="A16" s="6" t="s">
        <v>260</v>
      </c>
      <c r="B16" s="6" t="s">
        <v>226</v>
      </c>
      <c r="C16" s="9">
        <v>1</v>
      </c>
      <c r="D16" s="6"/>
      <c r="E16" s="6"/>
      <c r="F16" s="9"/>
    </row>
    <row r="18" spans="1:6" x14ac:dyDescent="0.2">
      <c r="A18" s="10" t="s">
        <v>209</v>
      </c>
      <c r="B18" s="11"/>
      <c r="C18" s="12">
        <f>SUM(C5:C16)</f>
        <v>41</v>
      </c>
      <c r="D18" s="11"/>
      <c r="E18" s="11"/>
      <c r="F18" s="12">
        <f>SUM(F5:F16)</f>
        <v>39</v>
      </c>
    </row>
    <row r="19" spans="1:6" x14ac:dyDescent="0.2">
      <c r="A19" s="2" t="s">
        <v>210</v>
      </c>
      <c r="B19" s="2"/>
      <c r="C19" s="2"/>
      <c r="D19" s="2"/>
      <c r="E19" s="2"/>
      <c r="F19" s="13">
        <f>F18-C18</f>
        <v>-2</v>
      </c>
    </row>
  </sheetData>
  <mergeCells count="3">
    <mergeCell ref="A1:F1"/>
    <mergeCell ref="A2:F2"/>
    <mergeCell ref="A19:E19"/>
  </mergeCells>
  <hyperlinks>
    <hyperlink ref="H1" r:id="rId1" location="'Summary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showGridLines="0" zoomScale="200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39" bestFit="1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261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262</v>
      </c>
      <c r="B5" s="6" t="s">
        <v>263</v>
      </c>
      <c r="C5" s="9">
        <v>345</v>
      </c>
      <c r="D5" s="6" t="s">
        <v>264</v>
      </c>
      <c r="E5" s="6" t="s">
        <v>265</v>
      </c>
      <c r="F5" s="9">
        <v>345</v>
      </c>
    </row>
    <row r="6" spans="1:8" x14ac:dyDescent="0.2">
      <c r="A6" s="6" t="s">
        <v>266</v>
      </c>
      <c r="B6" s="6" t="s">
        <v>203</v>
      </c>
      <c r="C6" s="9">
        <v>200</v>
      </c>
      <c r="D6" s="6" t="s">
        <v>267</v>
      </c>
      <c r="E6" s="6" t="s">
        <v>268</v>
      </c>
      <c r="F6" s="9">
        <v>200</v>
      </c>
    </row>
    <row r="7" spans="1:8" x14ac:dyDescent="0.2">
      <c r="A7" s="6" t="s">
        <v>269</v>
      </c>
      <c r="B7" s="6" t="s">
        <v>270</v>
      </c>
      <c r="C7" s="9">
        <v>110</v>
      </c>
      <c r="D7" s="6"/>
      <c r="E7" s="6"/>
      <c r="F7" s="9"/>
    </row>
    <row r="9" spans="1:8" x14ac:dyDescent="0.2">
      <c r="A9" s="10" t="s">
        <v>209</v>
      </c>
      <c r="B9" s="11"/>
      <c r="C9" s="12">
        <f>SUM(C5:C7)</f>
        <v>655</v>
      </c>
      <c r="D9" s="11"/>
      <c r="E9" s="11"/>
      <c r="F9" s="12">
        <f>SUM(F5:F7)</f>
        <v>545</v>
      </c>
    </row>
    <row r="10" spans="1:8" x14ac:dyDescent="0.2">
      <c r="A10" s="2" t="s">
        <v>210</v>
      </c>
      <c r="B10" s="2"/>
      <c r="C10" s="2"/>
      <c r="D10" s="2"/>
      <c r="E10" s="2"/>
      <c r="F10" s="13">
        <f>F9-C9</f>
        <v>-110</v>
      </c>
    </row>
  </sheetData>
  <mergeCells count="3">
    <mergeCell ref="A1:F1"/>
    <mergeCell ref="A2:F2"/>
    <mergeCell ref="A10:E10"/>
  </mergeCells>
  <hyperlinks>
    <hyperlink ref="H1" r:id="rId1" location="'Summary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showGridLines="0" zoomScale="180" zoomScaleNormal="100" workbookViewId="0">
      <selection sqref="A1:F14"/>
    </sheetView>
  </sheetViews>
  <sheetFormatPr baseColWidth="10" defaultColWidth="8.6640625" defaultRowHeight="15" x14ac:dyDescent="0.2"/>
  <cols>
    <col min="1" max="1" width="15.5" bestFit="1" customWidth="1"/>
    <col min="2" max="2" width="36" bestFit="1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271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212</v>
      </c>
      <c r="B5" s="6" t="s">
        <v>203</v>
      </c>
      <c r="C5" s="9">
        <v>840</v>
      </c>
      <c r="D5" s="6" t="s">
        <v>213</v>
      </c>
      <c r="E5" s="6" t="s">
        <v>214</v>
      </c>
      <c r="F5" s="9">
        <v>1300</v>
      </c>
    </row>
    <row r="6" spans="1:8" x14ac:dyDescent="0.2">
      <c r="A6" s="6" t="s">
        <v>215</v>
      </c>
      <c r="B6" s="6" t="s">
        <v>203</v>
      </c>
      <c r="C6" s="9">
        <v>500</v>
      </c>
      <c r="D6" s="6" t="s">
        <v>216</v>
      </c>
      <c r="E6" s="6" t="s">
        <v>217</v>
      </c>
      <c r="F6" s="9">
        <v>500</v>
      </c>
    </row>
    <row r="7" spans="1:8" x14ac:dyDescent="0.2">
      <c r="A7" s="6" t="s">
        <v>218</v>
      </c>
      <c r="B7" s="6" t="s">
        <v>203</v>
      </c>
      <c r="C7" s="9">
        <v>460</v>
      </c>
      <c r="D7" s="6"/>
      <c r="E7" s="6"/>
      <c r="F7" s="9"/>
    </row>
    <row r="8" spans="1:8" x14ac:dyDescent="0.2">
      <c r="A8" s="6" t="s">
        <v>274</v>
      </c>
      <c r="B8" s="6" t="s">
        <v>275</v>
      </c>
      <c r="C8" s="9">
        <v>230</v>
      </c>
      <c r="D8" s="6" t="s">
        <v>272</v>
      </c>
      <c r="E8" s="6" t="s">
        <v>273</v>
      </c>
      <c r="F8" s="9">
        <v>230</v>
      </c>
    </row>
    <row r="9" spans="1:8" x14ac:dyDescent="0.2">
      <c r="A9" s="34" t="s">
        <v>219</v>
      </c>
      <c r="B9" s="34" t="s">
        <v>203</v>
      </c>
      <c r="C9" s="35">
        <v>52</v>
      </c>
      <c r="D9" s="6"/>
      <c r="E9" s="6"/>
      <c r="F9" s="9"/>
    </row>
    <row r="10" spans="1:8" x14ac:dyDescent="0.2">
      <c r="A10" s="6" t="s">
        <v>277</v>
      </c>
      <c r="B10" s="6" t="s">
        <v>275</v>
      </c>
      <c r="C10" s="9">
        <v>40</v>
      </c>
      <c r="D10" s="6" t="s">
        <v>276</v>
      </c>
      <c r="E10" s="6" t="s">
        <v>273</v>
      </c>
      <c r="F10" s="9">
        <v>40</v>
      </c>
    </row>
    <row r="11" spans="1:8" x14ac:dyDescent="0.2">
      <c r="A11" s="34" t="s">
        <v>205</v>
      </c>
      <c r="B11" s="34" t="s">
        <v>203</v>
      </c>
      <c r="C11" s="35">
        <v>36</v>
      </c>
      <c r="D11" s="6"/>
      <c r="E11" s="6"/>
      <c r="F11" s="9"/>
    </row>
    <row r="13" spans="1:8" x14ac:dyDescent="0.2">
      <c r="A13" s="10" t="s">
        <v>209</v>
      </c>
      <c r="B13" s="11"/>
      <c r="C13" s="12">
        <f>SUM(C5:C11)</f>
        <v>2158</v>
      </c>
      <c r="D13" s="11"/>
      <c r="E13" s="11"/>
      <c r="F13" s="12">
        <f>SUM(F5:F11)</f>
        <v>2070</v>
      </c>
    </row>
    <row r="14" spans="1:8" x14ac:dyDescent="0.2">
      <c r="A14" s="2" t="s">
        <v>210</v>
      </c>
      <c r="B14" s="2"/>
      <c r="C14" s="2"/>
      <c r="D14" s="2"/>
      <c r="E14" s="2"/>
      <c r="F14" s="13">
        <f>F13-C13</f>
        <v>-88</v>
      </c>
    </row>
  </sheetData>
  <mergeCells count="3">
    <mergeCell ref="A1:F1"/>
    <mergeCell ref="A2:F2"/>
    <mergeCell ref="A14:E14"/>
  </mergeCells>
  <hyperlinks>
    <hyperlink ref="H1" r:id="rId1" location="'Summary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showGridLines="0" zoomScale="178" zoomScaleNormal="100" workbookViewId="0">
      <selection sqref="A1:F17"/>
    </sheetView>
  </sheetViews>
  <sheetFormatPr baseColWidth="10" defaultColWidth="8.6640625" defaultRowHeight="15" x14ac:dyDescent="0.2"/>
  <cols>
    <col min="1" max="1" width="18" customWidth="1"/>
    <col min="2" max="2" width="41.33203125" bestFit="1" customWidth="1"/>
    <col min="3" max="3" width="14" customWidth="1"/>
    <col min="4" max="4" width="18" customWidth="1"/>
    <col min="5" max="5" width="38.6640625" bestFit="1" customWidth="1"/>
    <col min="6" max="6" width="14" customWidth="1"/>
  </cols>
  <sheetData>
    <row r="1" spans="1:8" ht="17" x14ac:dyDescent="0.2">
      <c r="A1" s="4" t="s">
        <v>278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279</v>
      </c>
      <c r="B5" s="6" t="s">
        <v>226</v>
      </c>
      <c r="C5" s="9">
        <v>950</v>
      </c>
      <c r="D5" s="37" t="s">
        <v>280</v>
      </c>
      <c r="E5" s="37" t="s">
        <v>281</v>
      </c>
      <c r="F5" s="38">
        <v>950</v>
      </c>
    </row>
    <row r="6" spans="1:8" x14ac:dyDescent="0.2">
      <c r="A6" s="6" t="s">
        <v>282</v>
      </c>
      <c r="B6" s="6" t="s">
        <v>283</v>
      </c>
      <c r="C6" s="36">
        <v>525</v>
      </c>
      <c r="D6" s="41" t="s">
        <v>284</v>
      </c>
      <c r="E6" s="41" t="s">
        <v>285</v>
      </c>
      <c r="F6" s="42">
        <v>525</v>
      </c>
    </row>
    <row r="7" spans="1:8" x14ac:dyDescent="0.2">
      <c r="A7" s="34" t="s">
        <v>286</v>
      </c>
      <c r="B7" s="34" t="s">
        <v>270</v>
      </c>
      <c r="C7" s="44">
        <v>200</v>
      </c>
      <c r="D7" s="43"/>
      <c r="E7" s="43"/>
      <c r="F7" s="43"/>
    </row>
    <row r="8" spans="1:8" x14ac:dyDescent="0.2">
      <c r="A8" s="6" t="s">
        <v>288</v>
      </c>
      <c r="B8" s="6" t="s">
        <v>275</v>
      </c>
      <c r="C8" s="36">
        <v>150</v>
      </c>
      <c r="D8" s="41" t="s">
        <v>287</v>
      </c>
      <c r="E8" s="41" t="s">
        <v>285</v>
      </c>
      <c r="F8" s="42">
        <v>150</v>
      </c>
    </row>
    <row r="9" spans="1:8" x14ac:dyDescent="0.2">
      <c r="A9" s="6" t="s">
        <v>291</v>
      </c>
      <c r="B9" s="6" t="s">
        <v>292</v>
      </c>
      <c r="C9" s="36">
        <v>110</v>
      </c>
      <c r="D9" s="41" t="s">
        <v>289</v>
      </c>
      <c r="E9" s="41" t="s">
        <v>290</v>
      </c>
      <c r="F9" s="42">
        <v>110</v>
      </c>
    </row>
    <row r="10" spans="1:8" x14ac:dyDescent="0.2">
      <c r="A10" s="6" t="s">
        <v>294</v>
      </c>
      <c r="B10" s="6" t="s">
        <v>270</v>
      </c>
      <c r="C10" s="9">
        <v>80</v>
      </c>
      <c r="D10" s="39" t="s">
        <v>293</v>
      </c>
      <c r="E10" s="39" t="s">
        <v>281</v>
      </c>
      <c r="F10" s="40">
        <v>80</v>
      </c>
    </row>
    <row r="11" spans="1:8" x14ac:dyDescent="0.2">
      <c r="A11" s="6" t="s">
        <v>296</v>
      </c>
      <c r="B11" s="6" t="s">
        <v>270</v>
      </c>
      <c r="C11" s="9">
        <v>80</v>
      </c>
      <c r="D11" s="6" t="s">
        <v>295</v>
      </c>
      <c r="E11" s="6" t="s">
        <v>285</v>
      </c>
      <c r="F11" s="9">
        <v>80</v>
      </c>
    </row>
    <row r="12" spans="1:8" x14ac:dyDescent="0.2">
      <c r="A12" s="6" t="s">
        <v>298</v>
      </c>
      <c r="B12" s="6" t="s">
        <v>283</v>
      </c>
      <c r="C12" s="9">
        <v>80</v>
      </c>
      <c r="D12" s="6"/>
      <c r="E12" s="6"/>
      <c r="F12" s="9"/>
    </row>
    <row r="13" spans="1:8" x14ac:dyDescent="0.2">
      <c r="A13" s="6" t="s">
        <v>300</v>
      </c>
      <c r="B13" s="6" t="s">
        <v>270</v>
      </c>
      <c r="C13" s="9">
        <v>65</v>
      </c>
      <c r="D13" s="6" t="s">
        <v>297</v>
      </c>
      <c r="E13" s="6" t="s">
        <v>281</v>
      </c>
      <c r="F13" s="9">
        <v>65</v>
      </c>
    </row>
    <row r="14" spans="1:8" x14ac:dyDescent="0.2">
      <c r="A14" s="6" t="s">
        <v>301</v>
      </c>
      <c r="B14" s="6" t="s">
        <v>270</v>
      </c>
      <c r="C14" s="9">
        <v>50</v>
      </c>
      <c r="D14" s="6" t="s">
        <v>299</v>
      </c>
      <c r="E14" s="6" t="s">
        <v>281</v>
      </c>
      <c r="F14" s="9">
        <v>50</v>
      </c>
    </row>
    <row r="16" spans="1:8" x14ac:dyDescent="0.2">
      <c r="A16" s="10" t="s">
        <v>209</v>
      </c>
      <c r="B16" s="11"/>
      <c r="C16" s="12">
        <f>SUM(C5:C14)</f>
        <v>2290</v>
      </c>
      <c r="D16" s="11"/>
      <c r="E16" s="11"/>
      <c r="F16" s="12">
        <f>SUM(F5:F14)</f>
        <v>2010</v>
      </c>
    </row>
    <row r="17" spans="1:6" x14ac:dyDescent="0.2">
      <c r="A17" s="2" t="s">
        <v>210</v>
      </c>
      <c r="B17" s="2"/>
      <c r="C17" s="2"/>
      <c r="D17" s="2"/>
      <c r="E17" s="2"/>
      <c r="F17" s="13">
        <f>F16-C16</f>
        <v>-280</v>
      </c>
    </row>
  </sheetData>
  <mergeCells count="3">
    <mergeCell ref="A1:F1"/>
    <mergeCell ref="A2:F2"/>
    <mergeCell ref="A17:E17"/>
  </mergeCells>
  <hyperlinks>
    <hyperlink ref="H1" r:id="rId1" location="'Summary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zoomScale="159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58.33203125" bestFit="1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302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303</v>
      </c>
      <c r="B5" s="6" t="s">
        <v>304</v>
      </c>
      <c r="C5" s="9">
        <v>40</v>
      </c>
      <c r="D5" s="6" t="s">
        <v>305</v>
      </c>
      <c r="E5" s="6" t="s">
        <v>273</v>
      </c>
      <c r="F5" s="9">
        <v>40</v>
      </c>
    </row>
    <row r="6" spans="1:8" x14ac:dyDescent="0.2">
      <c r="A6" s="34" t="s">
        <v>306</v>
      </c>
      <c r="B6" s="34" t="s">
        <v>270</v>
      </c>
      <c r="C6" s="35">
        <v>26</v>
      </c>
      <c r="D6" s="6"/>
      <c r="E6" s="6"/>
      <c r="F6" s="9"/>
    </row>
    <row r="7" spans="1:8" x14ac:dyDescent="0.2">
      <c r="A7" s="34" t="s">
        <v>307</v>
      </c>
      <c r="B7" s="34" t="s">
        <v>270</v>
      </c>
      <c r="C7" s="35">
        <v>10</v>
      </c>
      <c r="D7" s="6"/>
      <c r="E7" s="6"/>
      <c r="F7" s="9"/>
    </row>
    <row r="9" spans="1:8" x14ac:dyDescent="0.2">
      <c r="A9" s="10" t="s">
        <v>209</v>
      </c>
      <c r="B9" s="11"/>
      <c r="C9" s="12">
        <f>SUM(C5:C7)</f>
        <v>76</v>
      </c>
      <c r="D9" s="11"/>
      <c r="E9" s="11"/>
      <c r="F9" s="12">
        <f>SUM(F5:F7)</f>
        <v>40</v>
      </c>
    </row>
    <row r="10" spans="1:8" x14ac:dyDescent="0.2">
      <c r="A10" s="2" t="s">
        <v>210</v>
      </c>
      <c r="B10" s="2"/>
      <c r="C10" s="2"/>
      <c r="D10" s="2"/>
      <c r="E10" s="2"/>
      <c r="F10" s="13">
        <f>F9-C9</f>
        <v>-36</v>
      </c>
    </row>
  </sheetData>
  <mergeCells count="3">
    <mergeCell ref="A1:F1"/>
    <mergeCell ref="A2:F2"/>
    <mergeCell ref="A10:E10"/>
  </mergeCells>
  <hyperlinks>
    <hyperlink ref="H1" r:id="rId1" location="'Summary'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showGridLines="0" zoomScale="169" zoomScaleNormal="100" workbookViewId="0">
      <selection activeCell="F7" sqref="F7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308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309</v>
      </c>
      <c r="B5" s="6" t="s">
        <v>221</v>
      </c>
      <c r="C5" s="9">
        <v>12</v>
      </c>
      <c r="D5" s="6" t="s">
        <v>310</v>
      </c>
      <c r="E5" s="6" t="s">
        <v>311</v>
      </c>
      <c r="F5" s="9">
        <v>9</v>
      </c>
    </row>
    <row r="6" spans="1:8" x14ac:dyDescent="0.2">
      <c r="A6" s="6" t="s">
        <v>312</v>
      </c>
      <c r="B6" s="6" t="s">
        <v>313</v>
      </c>
      <c r="C6" s="9">
        <v>4</v>
      </c>
      <c r="D6" s="6" t="s">
        <v>314</v>
      </c>
      <c r="E6" s="6" t="s">
        <v>311</v>
      </c>
      <c r="F6" s="9">
        <v>4</v>
      </c>
    </row>
    <row r="7" spans="1:8" x14ac:dyDescent="0.2">
      <c r="A7" s="6" t="s">
        <v>315</v>
      </c>
      <c r="B7" s="6" t="s">
        <v>316</v>
      </c>
      <c r="C7" s="9">
        <v>2</v>
      </c>
      <c r="D7" s="6" t="s">
        <v>317</v>
      </c>
      <c r="E7" s="6" t="s">
        <v>318</v>
      </c>
      <c r="F7" s="9">
        <v>2</v>
      </c>
    </row>
    <row r="8" spans="1:8" x14ac:dyDescent="0.2">
      <c r="A8" s="6"/>
      <c r="B8" s="6"/>
      <c r="C8" s="9"/>
      <c r="D8" s="6" t="s">
        <v>319</v>
      </c>
      <c r="E8" s="6" t="s">
        <v>320</v>
      </c>
      <c r="F8" s="9">
        <v>2</v>
      </c>
    </row>
    <row r="10" spans="1:8" x14ac:dyDescent="0.2">
      <c r="A10" s="10" t="s">
        <v>209</v>
      </c>
      <c r="B10" s="11"/>
      <c r="C10" s="12">
        <f>SUM(C5:C8)</f>
        <v>18</v>
      </c>
      <c r="D10" s="11"/>
      <c r="E10" s="11"/>
      <c r="F10" s="12">
        <f>SUM(F5:F8)</f>
        <v>17</v>
      </c>
    </row>
    <row r="11" spans="1:8" x14ac:dyDescent="0.2">
      <c r="A11" s="2" t="s">
        <v>210</v>
      </c>
      <c r="B11" s="2"/>
      <c r="C11" s="2"/>
      <c r="D11" s="2"/>
      <c r="E11" s="2"/>
      <c r="F11" s="13">
        <f>F10-C10</f>
        <v>-1</v>
      </c>
    </row>
  </sheetData>
  <mergeCells count="3">
    <mergeCell ref="A1:F1"/>
    <mergeCell ref="A2:F2"/>
    <mergeCell ref="A11:E11"/>
  </mergeCells>
  <hyperlinks>
    <hyperlink ref="H1" r:id="rId1" location="'Summary'!A1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showGridLines="0" zoomScale="164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321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322</v>
      </c>
      <c r="B5" s="6" t="s">
        <v>203</v>
      </c>
      <c r="C5" s="9">
        <v>200</v>
      </c>
      <c r="D5" s="6" t="s">
        <v>323</v>
      </c>
      <c r="E5" s="6" t="s">
        <v>217</v>
      </c>
      <c r="F5" s="9">
        <v>100</v>
      </c>
    </row>
    <row r="6" spans="1:8" x14ac:dyDescent="0.2">
      <c r="A6" s="34" t="s">
        <v>215</v>
      </c>
      <c r="B6" s="34" t="s">
        <v>203</v>
      </c>
      <c r="C6" s="35">
        <v>100</v>
      </c>
      <c r="D6" s="6"/>
      <c r="E6" s="6"/>
      <c r="F6" s="9"/>
    </row>
    <row r="8" spans="1:8" x14ac:dyDescent="0.2">
      <c r="A8" s="10" t="s">
        <v>209</v>
      </c>
      <c r="B8" s="11"/>
      <c r="C8" s="12">
        <f>SUM(C5:C6)</f>
        <v>300</v>
      </c>
      <c r="D8" s="11"/>
      <c r="E8" s="11"/>
      <c r="F8" s="12">
        <f>SUM(F5:F6)</f>
        <v>100</v>
      </c>
    </row>
    <row r="9" spans="1:8" x14ac:dyDescent="0.2">
      <c r="A9" s="2" t="s">
        <v>210</v>
      </c>
      <c r="B9" s="2"/>
      <c r="C9" s="2"/>
      <c r="D9" s="2"/>
      <c r="E9" s="2"/>
      <c r="F9" s="13">
        <f>F8-C8</f>
        <v>-200</v>
      </c>
    </row>
  </sheetData>
  <mergeCells count="3">
    <mergeCell ref="A1:F1"/>
    <mergeCell ref="A2:F2"/>
    <mergeCell ref="A9:E9"/>
  </mergeCells>
  <hyperlinks>
    <hyperlink ref="H1" r:id="rId1" location="'Summary'!A1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zoomScale="172" zoomScaleNormal="100" workbookViewId="0">
      <selection sqref="A1:F1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324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325</v>
      </c>
      <c r="B5" s="6" t="s">
        <v>203</v>
      </c>
      <c r="C5" s="9">
        <v>840</v>
      </c>
      <c r="D5" s="6" t="s">
        <v>326</v>
      </c>
      <c r="E5" s="6" t="s">
        <v>285</v>
      </c>
      <c r="F5" s="9">
        <v>1300</v>
      </c>
    </row>
    <row r="6" spans="1:8" x14ac:dyDescent="0.2">
      <c r="A6" s="6" t="s">
        <v>327</v>
      </c>
      <c r="B6" s="6" t="s">
        <v>203</v>
      </c>
      <c r="C6" s="9">
        <v>460</v>
      </c>
      <c r="D6" s="6" t="s">
        <v>328</v>
      </c>
      <c r="E6" s="6" t="s">
        <v>285</v>
      </c>
      <c r="F6" s="9">
        <v>300</v>
      </c>
    </row>
    <row r="7" spans="1:8" x14ac:dyDescent="0.2">
      <c r="A7" s="6" t="s">
        <v>329</v>
      </c>
      <c r="B7" s="6" t="s">
        <v>203</v>
      </c>
      <c r="C7" s="9">
        <v>300</v>
      </c>
      <c r="D7" s="6"/>
      <c r="E7" s="6"/>
      <c r="F7" s="9"/>
    </row>
    <row r="8" spans="1:8" x14ac:dyDescent="0.2">
      <c r="A8" s="34" t="s">
        <v>322</v>
      </c>
      <c r="B8" s="34" t="s">
        <v>203</v>
      </c>
      <c r="C8" s="35">
        <v>120</v>
      </c>
      <c r="D8" s="6"/>
      <c r="E8" s="6"/>
      <c r="F8" s="9"/>
    </row>
    <row r="10" spans="1:8" x14ac:dyDescent="0.2">
      <c r="A10" s="10" t="s">
        <v>209</v>
      </c>
      <c r="B10" s="11"/>
      <c r="C10" s="12">
        <f>SUM(C5:C8)</f>
        <v>1720</v>
      </c>
      <c r="D10" s="11"/>
      <c r="E10" s="11"/>
      <c r="F10" s="12">
        <f>SUM(F5:F8)</f>
        <v>1600</v>
      </c>
    </row>
    <row r="11" spans="1:8" x14ac:dyDescent="0.2">
      <c r="A11" s="2" t="s">
        <v>210</v>
      </c>
      <c r="B11" s="2"/>
      <c r="C11" s="2"/>
      <c r="D11" s="2"/>
      <c r="E11" s="2"/>
      <c r="F11" s="13">
        <f>F10-C10</f>
        <v>-120</v>
      </c>
    </row>
  </sheetData>
  <mergeCells count="3">
    <mergeCell ref="A1:F1"/>
    <mergeCell ref="A2:F2"/>
    <mergeCell ref="A11:E11"/>
  </mergeCells>
  <hyperlinks>
    <hyperlink ref="H1" r:id="rId1" location="'Summary'!A1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5"/>
  <sheetViews>
    <sheetView showGridLines="0" zoomScale="156" zoomScaleNormal="100" workbookViewId="0">
      <selection sqref="A1:F25"/>
    </sheetView>
  </sheetViews>
  <sheetFormatPr baseColWidth="10" defaultColWidth="8.6640625" defaultRowHeight="15" x14ac:dyDescent="0.2"/>
  <cols>
    <col min="1" max="1" width="15.5" bestFit="1" customWidth="1"/>
    <col min="2" max="2" width="39" bestFit="1" customWidth="1"/>
    <col min="3" max="3" width="12.83203125" bestFit="1" customWidth="1"/>
    <col min="4" max="4" width="15.33203125" bestFit="1" customWidth="1"/>
    <col min="5" max="5" width="38.33203125" bestFit="1" customWidth="1"/>
    <col min="6" max="6" width="12.33203125" bestFit="1" customWidth="1"/>
    <col min="8" max="8" width="15.5" bestFit="1" customWidth="1"/>
  </cols>
  <sheetData>
    <row r="1" spans="1:8" ht="17" x14ac:dyDescent="0.2">
      <c r="A1" s="4" t="s">
        <v>330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331</v>
      </c>
      <c r="B5" s="6" t="s">
        <v>283</v>
      </c>
      <c r="C5" s="9">
        <v>1900</v>
      </c>
      <c r="D5" s="6" t="s">
        <v>332</v>
      </c>
      <c r="E5" s="6" t="s">
        <v>214</v>
      </c>
      <c r="F5" s="9">
        <v>1000</v>
      </c>
    </row>
    <row r="6" spans="1:8" x14ac:dyDescent="0.2">
      <c r="A6" s="6"/>
      <c r="B6" s="6"/>
      <c r="C6" s="9"/>
      <c r="D6" s="6" t="s">
        <v>334</v>
      </c>
      <c r="E6" s="6" t="s">
        <v>214</v>
      </c>
      <c r="F6" s="9">
        <v>900</v>
      </c>
    </row>
    <row r="7" spans="1:8" x14ac:dyDescent="0.2">
      <c r="A7" s="6" t="s">
        <v>333</v>
      </c>
      <c r="B7" s="6" t="s">
        <v>283</v>
      </c>
      <c r="C7" s="9">
        <v>1100</v>
      </c>
      <c r="D7" s="6" t="s">
        <v>335</v>
      </c>
      <c r="E7" s="6" t="s">
        <v>265</v>
      </c>
      <c r="F7" s="9">
        <v>600</v>
      </c>
    </row>
    <row r="8" spans="1:8" x14ac:dyDescent="0.2">
      <c r="A8" s="6"/>
      <c r="B8" s="6"/>
      <c r="C8" s="9"/>
      <c r="D8" s="6" t="s">
        <v>337</v>
      </c>
      <c r="E8" s="6" t="s">
        <v>338</v>
      </c>
      <c r="F8" s="9">
        <v>500</v>
      </c>
    </row>
    <row r="9" spans="1:8" x14ac:dyDescent="0.2">
      <c r="A9" s="6"/>
      <c r="B9" s="6"/>
      <c r="C9" s="9"/>
      <c r="D9" s="6"/>
      <c r="E9" s="6"/>
      <c r="F9" s="9"/>
    </row>
    <row r="10" spans="1:8" x14ac:dyDescent="0.2">
      <c r="A10" s="6" t="s">
        <v>218</v>
      </c>
      <c r="B10" s="6" t="s">
        <v>203</v>
      </c>
      <c r="C10" s="9">
        <v>500</v>
      </c>
      <c r="D10" s="6" t="s">
        <v>213</v>
      </c>
      <c r="E10" s="6" t="s">
        <v>214</v>
      </c>
      <c r="F10" s="9">
        <v>700</v>
      </c>
    </row>
    <row r="11" spans="1:8" x14ac:dyDescent="0.2">
      <c r="A11" s="6" t="s">
        <v>220</v>
      </c>
      <c r="B11" s="6" t="s">
        <v>221</v>
      </c>
      <c r="C11" s="9">
        <v>430</v>
      </c>
      <c r="D11" s="34" t="s">
        <v>345</v>
      </c>
      <c r="E11" s="34" t="s">
        <v>265</v>
      </c>
      <c r="F11" s="35">
        <v>400</v>
      </c>
    </row>
    <row r="12" spans="1:8" x14ac:dyDescent="0.2">
      <c r="A12" s="6" t="s">
        <v>336</v>
      </c>
      <c r="B12" s="6" t="s">
        <v>221</v>
      </c>
      <c r="C12" s="9">
        <v>400</v>
      </c>
      <c r="D12" s="6" t="s">
        <v>341</v>
      </c>
      <c r="E12" s="6" t="s">
        <v>342</v>
      </c>
      <c r="F12" s="9">
        <v>400</v>
      </c>
    </row>
    <row r="13" spans="1:8" x14ac:dyDescent="0.2">
      <c r="A13" s="6" t="s">
        <v>339</v>
      </c>
      <c r="B13" s="6" t="s">
        <v>340</v>
      </c>
      <c r="C13" s="9">
        <v>400</v>
      </c>
      <c r="D13" s="6" t="s">
        <v>351</v>
      </c>
      <c r="E13" s="6" t="s">
        <v>318</v>
      </c>
      <c r="F13" s="9">
        <v>300</v>
      </c>
    </row>
    <row r="14" spans="1:8" x14ac:dyDescent="0.2">
      <c r="A14" s="6"/>
      <c r="B14" s="6"/>
      <c r="C14" s="9"/>
      <c r="D14" s="6" t="s">
        <v>357</v>
      </c>
      <c r="E14" s="6" t="s">
        <v>318</v>
      </c>
      <c r="F14" s="9">
        <v>100</v>
      </c>
    </row>
    <row r="15" spans="1:8" x14ac:dyDescent="0.2">
      <c r="A15" s="6" t="s">
        <v>343</v>
      </c>
      <c r="B15" s="6" t="s">
        <v>344</v>
      </c>
      <c r="C15" s="9">
        <v>400</v>
      </c>
      <c r="D15" s="6" t="s">
        <v>346</v>
      </c>
      <c r="E15" s="6" t="s">
        <v>347</v>
      </c>
      <c r="F15" s="9">
        <v>400</v>
      </c>
    </row>
    <row r="16" spans="1:8" x14ac:dyDescent="0.2">
      <c r="A16" s="34" t="s">
        <v>322</v>
      </c>
      <c r="B16" s="34" t="s">
        <v>203</v>
      </c>
      <c r="C16" s="35">
        <v>300</v>
      </c>
      <c r="D16" s="6"/>
      <c r="E16" s="6"/>
      <c r="F16" s="9"/>
    </row>
    <row r="17" spans="1:6" x14ac:dyDescent="0.2">
      <c r="A17" s="6" t="s">
        <v>348</v>
      </c>
      <c r="B17" s="6" t="s">
        <v>283</v>
      </c>
      <c r="C17" s="9">
        <v>300</v>
      </c>
      <c r="D17" s="6" t="s">
        <v>349</v>
      </c>
      <c r="E17" s="6" t="s">
        <v>265</v>
      </c>
      <c r="F17" s="9">
        <v>306</v>
      </c>
    </row>
    <row r="18" spans="1:6" x14ac:dyDescent="0.2">
      <c r="A18" s="34" t="s">
        <v>350</v>
      </c>
      <c r="B18" s="34" t="s">
        <v>270</v>
      </c>
      <c r="C18" s="35">
        <v>200</v>
      </c>
      <c r="D18" s="34" t="s">
        <v>354</v>
      </c>
      <c r="E18" s="34" t="s">
        <v>265</v>
      </c>
      <c r="F18" s="35">
        <v>200</v>
      </c>
    </row>
    <row r="19" spans="1:6" x14ac:dyDescent="0.2">
      <c r="A19" s="34"/>
      <c r="B19" s="34"/>
      <c r="C19" s="35"/>
      <c r="D19" s="34" t="s">
        <v>356</v>
      </c>
      <c r="E19" s="34" t="s">
        <v>338</v>
      </c>
      <c r="F19" s="35">
        <v>150</v>
      </c>
    </row>
    <row r="20" spans="1:6" x14ac:dyDescent="0.2">
      <c r="A20" s="34" t="s">
        <v>212</v>
      </c>
      <c r="B20" s="34" t="s">
        <v>203</v>
      </c>
      <c r="C20" s="35">
        <v>200</v>
      </c>
      <c r="D20" s="6"/>
      <c r="E20" s="6"/>
      <c r="F20" s="9"/>
    </row>
    <row r="21" spans="1:6" x14ac:dyDescent="0.2">
      <c r="A21" s="6" t="s">
        <v>353</v>
      </c>
      <c r="B21" s="6" t="s">
        <v>270</v>
      </c>
      <c r="C21" s="9">
        <v>200</v>
      </c>
      <c r="D21" s="6" t="s">
        <v>352</v>
      </c>
      <c r="E21" s="6" t="s">
        <v>338</v>
      </c>
      <c r="F21" s="9">
        <v>200</v>
      </c>
    </row>
    <row r="22" spans="1:6" x14ac:dyDescent="0.2">
      <c r="A22" s="6" t="s">
        <v>355</v>
      </c>
      <c r="B22" s="6" t="s">
        <v>283</v>
      </c>
      <c r="C22" s="9">
        <v>100</v>
      </c>
      <c r="D22" s="6" t="s">
        <v>358</v>
      </c>
      <c r="E22" s="6" t="s">
        <v>359</v>
      </c>
      <c r="F22" s="9">
        <v>100</v>
      </c>
    </row>
    <row r="23" spans="1:6" x14ac:dyDescent="0.2">
      <c r="A23" s="6" t="s">
        <v>215</v>
      </c>
      <c r="B23" s="6" t="s">
        <v>203</v>
      </c>
      <c r="C23" s="9">
        <v>100</v>
      </c>
      <c r="D23" s="6" t="s">
        <v>323</v>
      </c>
      <c r="E23" s="6" t="s">
        <v>217</v>
      </c>
      <c r="F23" s="9">
        <v>100</v>
      </c>
    </row>
    <row r="24" spans="1:6" x14ac:dyDescent="0.2">
      <c r="A24" s="10" t="s">
        <v>209</v>
      </c>
      <c r="B24" s="11"/>
      <c r="C24" s="12">
        <f>SUM(C5:C23)</f>
        <v>6530</v>
      </c>
      <c r="D24" s="11"/>
      <c r="E24" s="11"/>
      <c r="F24" s="12">
        <f>SUM(F5:F23)</f>
        <v>6356</v>
      </c>
    </row>
    <row r="25" spans="1:6" x14ac:dyDescent="0.2">
      <c r="A25" s="2" t="s">
        <v>210</v>
      </c>
      <c r="B25" s="2"/>
      <c r="C25" s="2"/>
      <c r="D25" s="2"/>
      <c r="E25" s="2"/>
      <c r="F25" s="13">
        <f>F24-C24</f>
        <v>-174</v>
      </c>
    </row>
  </sheetData>
  <mergeCells count="3">
    <mergeCell ref="A1:F1"/>
    <mergeCell ref="A2:F2"/>
    <mergeCell ref="A25:E25"/>
  </mergeCells>
  <hyperlinks>
    <hyperlink ref="H1" r:id="rId1" location="'Summary'!A1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showGridLines="0" zoomScale="176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360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237</v>
      </c>
      <c r="B5" s="6" t="s">
        <v>238</v>
      </c>
      <c r="C5" s="9">
        <v>490</v>
      </c>
      <c r="D5" s="6" t="s">
        <v>361</v>
      </c>
      <c r="E5" s="6" t="s">
        <v>201</v>
      </c>
      <c r="F5" s="9">
        <v>490</v>
      </c>
    </row>
    <row r="6" spans="1:8" x14ac:dyDescent="0.2">
      <c r="A6" s="6" t="s">
        <v>233</v>
      </c>
      <c r="B6" s="6" t="s">
        <v>234</v>
      </c>
      <c r="C6" s="9">
        <v>49</v>
      </c>
      <c r="D6" s="6" t="s">
        <v>362</v>
      </c>
      <c r="E6" s="6" t="s">
        <v>236</v>
      </c>
      <c r="F6" s="9">
        <v>49</v>
      </c>
    </row>
    <row r="7" spans="1:8" x14ac:dyDescent="0.2">
      <c r="A7" s="6" t="s">
        <v>253</v>
      </c>
      <c r="B7" s="6" t="s">
        <v>254</v>
      </c>
      <c r="C7" s="9">
        <v>10</v>
      </c>
      <c r="D7" s="6" t="s">
        <v>247</v>
      </c>
      <c r="E7" s="6" t="s">
        <v>236</v>
      </c>
      <c r="F7" s="9">
        <v>10</v>
      </c>
    </row>
    <row r="8" spans="1:8" x14ac:dyDescent="0.2">
      <c r="A8" s="6" t="s">
        <v>240</v>
      </c>
      <c r="B8" s="6" t="s">
        <v>241</v>
      </c>
      <c r="C8" s="9">
        <v>8</v>
      </c>
      <c r="D8" s="6" t="s">
        <v>257</v>
      </c>
      <c r="E8" s="6" t="s">
        <v>236</v>
      </c>
      <c r="F8" s="9">
        <v>6</v>
      </c>
    </row>
    <row r="9" spans="1:8" x14ac:dyDescent="0.2">
      <c r="A9" s="6"/>
      <c r="B9" s="6"/>
      <c r="C9" s="9"/>
      <c r="D9" s="6" t="s">
        <v>363</v>
      </c>
      <c r="E9" s="6" t="s">
        <v>201</v>
      </c>
      <c r="F9" s="9">
        <v>3</v>
      </c>
    </row>
    <row r="11" spans="1:8" x14ac:dyDescent="0.2">
      <c r="A11" s="10" t="s">
        <v>209</v>
      </c>
      <c r="B11" s="11"/>
      <c r="C11" s="12">
        <f>SUM(C5:C9)</f>
        <v>557</v>
      </c>
      <c r="D11" s="11"/>
      <c r="E11" s="11"/>
      <c r="F11" s="12">
        <f>SUM(F5:F9)</f>
        <v>558</v>
      </c>
    </row>
    <row r="12" spans="1:8" x14ac:dyDescent="0.2">
      <c r="A12" s="2" t="s">
        <v>210</v>
      </c>
      <c r="B12" s="2"/>
      <c r="C12" s="2"/>
      <c r="D12" s="2"/>
      <c r="E12" s="2"/>
      <c r="F12" s="12">
        <f>F11-C11</f>
        <v>1</v>
      </c>
    </row>
  </sheetData>
  <mergeCells count="3">
    <mergeCell ref="A1:F1"/>
    <mergeCell ref="A2:F2"/>
    <mergeCell ref="A12:E12"/>
  </mergeCells>
  <hyperlinks>
    <hyperlink ref="H1" r:id="rId1" location="'Summary'!A1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6"/>
  <sheetViews>
    <sheetView showGridLines="0" zoomScale="190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364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309</v>
      </c>
      <c r="B5" s="6" t="s">
        <v>221</v>
      </c>
      <c r="C5" s="9">
        <v>1412</v>
      </c>
      <c r="D5" s="6" t="s">
        <v>365</v>
      </c>
      <c r="E5" s="6" t="s">
        <v>366</v>
      </c>
      <c r="F5" s="9">
        <v>650</v>
      </c>
    </row>
    <row r="6" spans="1:8" x14ac:dyDescent="0.2">
      <c r="A6" s="6" t="s">
        <v>220</v>
      </c>
      <c r="B6" s="6" t="s">
        <v>221</v>
      </c>
      <c r="C6" s="9">
        <v>1284</v>
      </c>
      <c r="D6" s="6" t="s">
        <v>367</v>
      </c>
      <c r="E6" s="6" t="s">
        <v>366</v>
      </c>
      <c r="F6" s="9">
        <v>620</v>
      </c>
    </row>
    <row r="7" spans="1:8" x14ac:dyDescent="0.2">
      <c r="A7" s="6" t="s">
        <v>336</v>
      </c>
      <c r="B7" s="6" t="s">
        <v>221</v>
      </c>
      <c r="C7" s="9">
        <v>90</v>
      </c>
      <c r="D7" s="6" t="s">
        <v>368</v>
      </c>
      <c r="E7" s="6" t="s">
        <v>366</v>
      </c>
      <c r="F7" s="9">
        <v>500</v>
      </c>
    </row>
    <row r="8" spans="1:8" x14ac:dyDescent="0.2">
      <c r="A8" s="6" t="s">
        <v>369</v>
      </c>
      <c r="B8" s="6" t="s">
        <v>270</v>
      </c>
      <c r="C8" s="9">
        <v>8</v>
      </c>
      <c r="D8" s="6" t="s">
        <v>370</v>
      </c>
      <c r="E8" s="6" t="s">
        <v>366</v>
      </c>
      <c r="F8" s="9">
        <v>400</v>
      </c>
    </row>
    <row r="9" spans="1:8" x14ac:dyDescent="0.2">
      <c r="A9" s="6"/>
      <c r="B9" s="6"/>
      <c r="C9" s="9"/>
      <c r="D9" s="6" t="s">
        <v>371</v>
      </c>
      <c r="E9" s="6" t="s">
        <v>366</v>
      </c>
      <c r="F9" s="9">
        <v>400</v>
      </c>
    </row>
    <row r="10" spans="1:8" x14ac:dyDescent="0.2">
      <c r="A10" s="6"/>
      <c r="B10" s="6"/>
      <c r="C10" s="9"/>
      <c r="D10" s="6" t="s">
        <v>372</v>
      </c>
      <c r="E10" s="6" t="s">
        <v>366</v>
      </c>
      <c r="F10" s="9">
        <v>350</v>
      </c>
    </row>
    <row r="11" spans="1:8" x14ac:dyDescent="0.2">
      <c r="A11" s="6"/>
      <c r="B11" s="6"/>
      <c r="C11" s="9"/>
      <c r="D11" s="6" t="s">
        <v>373</v>
      </c>
      <c r="E11" s="6" t="s">
        <v>374</v>
      </c>
      <c r="F11" s="9">
        <v>270</v>
      </c>
    </row>
    <row r="12" spans="1:8" x14ac:dyDescent="0.2">
      <c r="A12" s="6"/>
      <c r="B12" s="6"/>
      <c r="C12" s="9"/>
      <c r="D12" s="6" t="s">
        <v>375</v>
      </c>
      <c r="E12" s="6" t="s">
        <v>366</v>
      </c>
      <c r="F12" s="9">
        <v>250</v>
      </c>
    </row>
    <row r="13" spans="1:8" x14ac:dyDescent="0.2">
      <c r="A13" s="6"/>
      <c r="B13" s="6"/>
      <c r="C13" s="9"/>
      <c r="D13" s="6" t="s">
        <v>376</v>
      </c>
      <c r="E13" s="6" t="s">
        <v>366</v>
      </c>
      <c r="F13" s="9">
        <v>240</v>
      </c>
    </row>
    <row r="14" spans="1:8" x14ac:dyDescent="0.2">
      <c r="A14" s="6"/>
      <c r="B14" s="6"/>
      <c r="C14" s="9"/>
      <c r="D14" s="6" t="s">
        <v>377</v>
      </c>
      <c r="E14" s="6" t="s">
        <v>366</v>
      </c>
      <c r="F14" s="9">
        <v>200</v>
      </c>
    </row>
    <row r="15" spans="1:8" x14ac:dyDescent="0.2">
      <c r="A15" s="6"/>
      <c r="B15" s="6"/>
      <c r="C15" s="9"/>
      <c r="D15" s="6" t="s">
        <v>378</v>
      </c>
      <c r="E15" s="6" t="s">
        <v>379</v>
      </c>
      <c r="F15" s="9">
        <v>120</v>
      </c>
    </row>
    <row r="16" spans="1:8" x14ac:dyDescent="0.2">
      <c r="A16" s="6"/>
      <c r="B16" s="6"/>
      <c r="C16" s="9"/>
      <c r="D16" s="6" t="s">
        <v>380</v>
      </c>
      <c r="E16" s="6" t="s">
        <v>381</v>
      </c>
      <c r="F16" s="9">
        <v>100</v>
      </c>
    </row>
    <row r="17" spans="1:6" x14ac:dyDescent="0.2">
      <c r="A17" s="6"/>
      <c r="B17" s="6"/>
      <c r="C17" s="9"/>
      <c r="D17" s="6" t="s">
        <v>382</v>
      </c>
      <c r="E17" s="6" t="s">
        <v>381</v>
      </c>
      <c r="F17" s="9">
        <v>90</v>
      </c>
    </row>
    <row r="18" spans="1:6" x14ac:dyDescent="0.2">
      <c r="A18" s="6"/>
      <c r="B18" s="6"/>
      <c r="C18" s="9"/>
      <c r="D18" s="6" t="s">
        <v>383</v>
      </c>
      <c r="E18" s="6" t="s">
        <v>366</v>
      </c>
      <c r="F18" s="9">
        <v>70</v>
      </c>
    </row>
    <row r="19" spans="1:6" x14ac:dyDescent="0.2">
      <c r="A19" s="6"/>
      <c r="B19" s="6"/>
      <c r="C19" s="9"/>
      <c r="D19" s="6" t="s">
        <v>384</v>
      </c>
      <c r="E19" s="6" t="s">
        <v>379</v>
      </c>
      <c r="F19" s="9">
        <v>65</v>
      </c>
    </row>
    <row r="20" spans="1:6" x14ac:dyDescent="0.2">
      <c r="A20" s="6"/>
      <c r="B20" s="6"/>
      <c r="C20" s="9"/>
      <c r="D20" s="6" t="s">
        <v>385</v>
      </c>
      <c r="E20" s="6" t="s">
        <v>379</v>
      </c>
      <c r="F20" s="9">
        <v>55</v>
      </c>
    </row>
    <row r="21" spans="1:6" x14ac:dyDescent="0.2">
      <c r="A21" s="6"/>
      <c r="B21" s="6"/>
      <c r="C21" s="9"/>
      <c r="D21" s="6" t="s">
        <v>386</v>
      </c>
      <c r="E21" s="6" t="s">
        <v>374</v>
      </c>
      <c r="F21" s="9">
        <v>15</v>
      </c>
    </row>
    <row r="22" spans="1:6" x14ac:dyDescent="0.2">
      <c r="A22" s="6"/>
      <c r="B22" s="6"/>
      <c r="C22" s="9"/>
      <c r="D22" s="6" t="s">
        <v>387</v>
      </c>
      <c r="E22" s="6" t="s">
        <v>379</v>
      </c>
      <c r="F22" s="9">
        <v>1</v>
      </c>
    </row>
    <row r="23" spans="1:6" x14ac:dyDescent="0.2">
      <c r="A23" s="6"/>
      <c r="B23" s="6"/>
      <c r="C23" s="9"/>
      <c r="D23" s="6" t="s">
        <v>388</v>
      </c>
      <c r="E23" s="6" t="s">
        <v>379</v>
      </c>
      <c r="F23" s="9">
        <v>1</v>
      </c>
    </row>
    <row r="25" spans="1:6" x14ac:dyDescent="0.2">
      <c r="A25" s="10" t="s">
        <v>209</v>
      </c>
      <c r="B25" s="11"/>
      <c r="C25" s="12">
        <f>SUM(C5:C23)</f>
        <v>2794</v>
      </c>
      <c r="D25" s="11"/>
      <c r="E25" s="11"/>
      <c r="F25" s="12">
        <f>SUM(F5:F23)</f>
        <v>4397</v>
      </c>
    </row>
    <row r="26" spans="1:6" x14ac:dyDescent="0.2">
      <c r="A26" s="2" t="s">
        <v>210</v>
      </c>
      <c r="B26" s="2"/>
      <c r="C26" s="2"/>
      <c r="D26" s="2"/>
      <c r="E26" s="2"/>
      <c r="F26" s="12">
        <f>F25-C25</f>
        <v>1603</v>
      </c>
    </row>
  </sheetData>
  <mergeCells count="3">
    <mergeCell ref="A1:F1"/>
    <mergeCell ref="A2:F2"/>
    <mergeCell ref="A26:E26"/>
  </mergeCells>
  <hyperlinks>
    <hyperlink ref="H1" r:id="rId1" location="'Summary'!A1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showGridLines="0" zoomScale="208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5.1640625" bestFit="1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389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212</v>
      </c>
      <c r="B5" s="6" t="s">
        <v>203</v>
      </c>
      <c r="C5" s="9">
        <v>1040</v>
      </c>
      <c r="D5" s="6" t="s">
        <v>390</v>
      </c>
      <c r="E5" s="6" t="s">
        <v>214</v>
      </c>
      <c r="F5" s="9">
        <v>1895</v>
      </c>
    </row>
    <row r="6" spans="1:8" x14ac:dyDescent="0.2">
      <c r="A6" s="6" t="s">
        <v>218</v>
      </c>
      <c r="B6" s="6" t="s">
        <v>203</v>
      </c>
      <c r="C6" s="9">
        <v>875</v>
      </c>
      <c r="D6" s="6" t="s">
        <v>391</v>
      </c>
      <c r="E6" s="6" t="s">
        <v>392</v>
      </c>
      <c r="F6" s="9">
        <v>800</v>
      </c>
    </row>
    <row r="7" spans="1:8" x14ac:dyDescent="0.2">
      <c r="A7" s="6" t="s">
        <v>215</v>
      </c>
      <c r="B7" s="6" t="s">
        <v>203</v>
      </c>
      <c r="C7" s="9">
        <v>800</v>
      </c>
      <c r="D7" s="6"/>
      <c r="E7" s="6"/>
      <c r="F7" s="9"/>
    </row>
    <row r="9" spans="1:8" x14ac:dyDescent="0.2">
      <c r="A9" s="10" t="s">
        <v>209</v>
      </c>
      <c r="B9" s="11"/>
      <c r="C9" s="12">
        <f>SUM(C5:C7)</f>
        <v>2715</v>
      </c>
      <c r="D9" s="11"/>
      <c r="E9" s="11"/>
      <c r="F9" s="12">
        <f>SUM(F5:F7)</f>
        <v>2695</v>
      </c>
    </row>
    <row r="10" spans="1:8" x14ac:dyDescent="0.2">
      <c r="A10" s="2" t="s">
        <v>210</v>
      </c>
      <c r="B10" s="2"/>
      <c r="C10" s="2"/>
      <c r="D10" s="2"/>
      <c r="E10" s="2"/>
      <c r="F10" s="13">
        <f>F9-C9</f>
        <v>-20</v>
      </c>
    </row>
  </sheetData>
  <mergeCells count="3">
    <mergeCell ref="A1:F1"/>
    <mergeCell ref="A2:F2"/>
    <mergeCell ref="A10:E10"/>
  </mergeCells>
  <hyperlinks>
    <hyperlink ref="H1" r:id="rId1" location="'Summary'!A1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H12"/>
  <sheetViews>
    <sheetView showGridLines="0" zoomScale="213" zoomScaleNormal="100" workbookViewId="0">
      <selection activeCell="F19" sqref="F1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393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212</v>
      </c>
      <c r="B5" s="6" t="s">
        <v>203</v>
      </c>
      <c r="C5" s="9">
        <v>1040</v>
      </c>
      <c r="D5" s="6" t="s">
        <v>394</v>
      </c>
      <c r="E5" s="6" t="s">
        <v>347</v>
      </c>
      <c r="F5" s="9">
        <v>100</v>
      </c>
    </row>
    <row r="6" spans="1:8" x14ac:dyDescent="0.2">
      <c r="A6" s="6" t="s">
        <v>218</v>
      </c>
      <c r="B6" s="6" t="s">
        <v>203</v>
      </c>
      <c r="C6" s="9">
        <v>875</v>
      </c>
      <c r="D6" s="6" t="s">
        <v>395</v>
      </c>
      <c r="E6" s="6" t="s">
        <v>347</v>
      </c>
      <c r="F6" s="9">
        <v>100</v>
      </c>
    </row>
    <row r="7" spans="1:8" x14ac:dyDescent="0.2">
      <c r="A7" s="6" t="s">
        <v>215</v>
      </c>
      <c r="B7" s="6" t="s">
        <v>203</v>
      </c>
      <c r="C7" s="9">
        <v>800</v>
      </c>
      <c r="D7" s="6" t="s">
        <v>396</v>
      </c>
      <c r="E7" s="6" t="s">
        <v>265</v>
      </c>
      <c r="F7" s="9">
        <v>35</v>
      </c>
    </row>
    <row r="8" spans="1:8" x14ac:dyDescent="0.2">
      <c r="A8" s="6"/>
      <c r="B8" s="6"/>
      <c r="C8" s="9"/>
      <c r="D8" s="6" t="s">
        <v>397</v>
      </c>
      <c r="E8" s="6" t="s">
        <v>265</v>
      </c>
      <c r="F8" s="9">
        <v>30</v>
      </c>
    </row>
    <row r="9" spans="1:8" x14ac:dyDescent="0.2">
      <c r="A9" s="6"/>
      <c r="B9" s="6"/>
      <c r="C9" s="9"/>
      <c r="D9" s="6" t="s">
        <v>398</v>
      </c>
      <c r="E9" s="6" t="s">
        <v>318</v>
      </c>
      <c r="F9" s="9">
        <v>17</v>
      </c>
    </row>
    <row r="11" spans="1:8" x14ac:dyDescent="0.2">
      <c r="A11" s="10" t="s">
        <v>209</v>
      </c>
      <c r="B11" s="11"/>
      <c r="C11" s="12">
        <f>SUM(C5:C9)</f>
        <v>2715</v>
      </c>
      <c r="D11" s="11"/>
      <c r="E11" s="11"/>
      <c r="F11" s="12">
        <f>SUM(F5:F9)</f>
        <v>282</v>
      </c>
    </row>
    <row r="12" spans="1:8" x14ac:dyDescent="0.2">
      <c r="A12" s="2" t="s">
        <v>210</v>
      </c>
      <c r="B12" s="2"/>
      <c r="C12" s="2"/>
      <c r="D12" s="2"/>
      <c r="E12" s="2"/>
      <c r="F12" s="13">
        <f>F11-C11</f>
        <v>-2433</v>
      </c>
    </row>
  </sheetData>
  <mergeCells count="3">
    <mergeCell ref="A1:F1"/>
    <mergeCell ref="A2:F2"/>
    <mergeCell ref="A12:E12"/>
  </mergeCells>
  <hyperlinks>
    <hyperlink ref="H1" r:id="rId1" location="'Summary'!A1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4"/>
  <sheetViews>
    <sheetView showGridLines="0" zoomScale="208" zoomScaleNormal="100" workbookViewId="0">
      <selection activeCell="F14" sqref="F14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399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400</v>
      </c>
      <c r="B5" s="6" t="s">
        <v>304</v>
      </c>
      <c r="C5" s="9">
        <v>10</v>
      </c>
      <c r="D5" s="6" t="s">
        <v>401</v>
      </c>
      <c r="E5" s="6" t="s">
        <v>402</v>
      </c>
      <c r="F5" s="9">
        <v>17</v>
      </c>
    </row>
    <row r="6" spans="1:8" x14ac:dyDescent="0.2">
      <c r="A6" s="6" t="s">
        <v>403</v>
      </c>
      <c r="B6" s="6" t="s">
        <v>304</v>
      </c>
      <c r="C6" s="9">
        <v>7</v>
      </c>
      <c r="D6" s="6" t="s">
        <v>404</v>
      </c>
      <c r="E6" s="6" t="s">
        <v>402</v>
      </c>
      <c r="F6" s="9">
        <v>4</v>
      </c>
    </row>
    <row r="7" spans="1:8" x14ac:dyDescent="0.2">
      <c r="A7" s="6" t="s">
        <v>405</v>
      </c>
      <c r="B7" s="6" t="s">
        <v>304</v>
      </c>
      <c r="C7" s="9">
        <v>4</v>
      </c>
      <c r="D7" s="6" t="s">
        <v>406</v>
      </c>
      <c r="E7" s="6" t="s">
        <v>402</v>
      </c>
      <c r="F7" s="9">
        <v>3</v>
      </c>
    </row>
    <row r="8" spans="1:8" x14ac:dyDescent="0.2">
      <c r="A8" s="6" t="s">
        <v>407</v>
      </c>
      <c r="B8" s="6" t="s">
        <v>304</v>
      </c>
      <c r="C8" s="9">
        <v>3</v>
      </c>
      <c r="D8" s="6" t="s">
        <v>408</v>
      </c>
      <c r="E8" s="6" t="s">
        <v>402</v>
      </c>
      <c r="F8" s="9">
        <v>2</v>
      </c>
    </row>
    <row r="9" spans="1:8" x14ac:dyDescent="0.2">
      <c r="A9" s="6" t="s">
        <v>409</v>
      </c>
      <c r="B9" s="6" t="s">
        <v>304</v>
      </c>
      <c r="C9" s="9">
        <v>3</v>
      </c>
      <c r="D9" s="6"/>
      <c r="E9" s="6"/>
      <c r="F9" s="9"/>
    </row>
    <row r="10" spans="1:8" x14ac:dyDescent="0.2">
      <c r="A10" s="6" t="s">
        <v>410</v>
      </c>
      <c r="B10" s="6" t="s">
        <v>304</v>
      </c>
      <c r="C10" s="9">
        <v>3</v>
      </c>
      <c r="D10" s="6"/>
      <c r="E10" s="6"/>
      <c r="F10" s="9"/>
    </row>
    <row r="11" spans="1:8" x14ac:dyDescent="0.2">
      <c r="A11" s="6" t="s">
        <v>411</v>
      </c>
      <c r="B11" s="6" t="s">
        <v>304</v>
      </c>
      <c r="C11" s="9">
        <v>2</v>
      </c>
      <c r="D11" s="6"/>
      <c r="E11" s="6"/>
      <c r="F11" s="9"/>
    </row>
    <row r="13" spans="1:8" x14ac:dyDescent="0.2">
      <c r="A13" s="10" t="s">
        <v>209</v>
      </c>
      <c r="B13" s="11"/>
      <c r="C13" s="12">
        <f>SUM(C5:C11)</f>
        <v>32</v>
      </c>
      <c r="D13" s="11"/>
      <c r="E13" s="11"/>
      <c r="F13" s="12">
        <f>SUM(F5:F11)</f>
        <v>26</v>
      </c>
    </row>
    <row r="14" spans="1:8" x14ac:dyDescent="0.2">
      <c r="A14" s="2" t="s">
        <v>210</v>
      </c>
      <c r="B14" s="2"/>
      <c r="C14" s="2"/>
      <c r="D14" s="2"/>
      <c r="E14" s="2"/>
      <c r="F14" s="13">
        <f>F13-C13</f>
        <v>-6</v>
      </c>
    </row>
  </sheetData>
  <mergeCells count="3">
    <mergeCell ref="A1:F1"/>
    <mergeCell ref="A2:F2"/>
    <mergeCell ref="A14:E14"/>
  </mergeCells>
  <hyperlinks>
    <hyperlink ref="H1" r:id="rId1" location="'Summary'!A1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showGridLines="0" zoomScale="209" zoomScaleNormal="100" workbookViewId="0">
      <selection activeCell="D5" sqref="D5:F5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412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220</v>
      </c>
      <c r="B5" s="6" t="s">
        <v>221</v>
      </c>
      <c r="C5" s="9">
        <v>615</v>
      </c>
      <c r="D5" s="34" t="s">
        <v>345</v>
      </c>
      <c r="E5" s="34" t="s">
        <v>265</v>
      </c>
      <c r="F5" s="35">
        <v>600</v>
      </c>
    </row>
    <row r="6" spans="1:8" x14ac:dyDescent="0.2">
      <c r="A6" s="6" t="s">
        <v>413</v>
      </c>
      <c r="B6" s="6" t="s">
        <v>283</v>
      </c>
      <c r="C6" s="9">
        <v>100</v>
      </c>
      <c r="D6" s="6" t="s">
        <v>416</v>
      </c>
      <c r="E6" s="6" t="s">
        <v>214</v>
      </c>
      <c r="F6" s="9">
        <v>100</v>
      </c>
    </row>
    <row r="7" spans="1:8" x14ac:dyDescent="0.2">
      <c r="A7" s="6" t="s">
        <v>415</v>
      </c>
      <c r="B7" s="6" t="s">
        <v>304</v>
      </c>
      <c r="C7" s="9">
        <v>100</v>
      </c>
      <c r="D7" s="6"/>
      <c r="E7" s="6"/>
      <c r="F7" s="9"/>
    </row>
    <row r="8" spans="1:8" x14ac:dyDescent="0.2">
      <c r="A8" s="6" t="s">
        <v>417</v>
      </c>
      <c r="B8" s="6" t="s">
        <v>304</v>
      </c>
      <c r="C8" s="9">
        <v>100</v>
      </c>
      <c r="D8" s="6" t="s">
        <v>418</v>
      </c>
      <c r="E8" s="6" t="s">
        <v>347</v>
      </c>
      <c r="F8" s="9">
        <v>100</v>
      </c>
    </row>
    <row r="9" spans="1:8" x14ac:dyDescent="0.2">
      <c r="A9" s="6" t="s">
        <v>419</v>
      </c>
      <c r="B9" s="6" t="s">
        <v>304</v>
      </c>
      <c r="C9" s="9">
        <v>100</v>
      </c>
      <c r="D9" s="6" t="s">
        <v>420</v>
      </c>
      <c r="E9" s="6" t="s">
        <v>359</v>
      </c>
      <c r="F9" s="9">
        <v>100</v>
      </c>
    </row>
    <row r="10" spans="1:8" x14ac:dyDescent="0.2">
      <c r="A10" s="6" t="s">
        <v>421</v>
      </c>
      <c r="B10" s="6" t="s">
        <v>304</v>
      </c>
      <c r="C10" s="9">
        <v>100</v>
      </c>
      <c r="D10" s="6" t="s">
        <v>414</v>
      </c>
      <c r="E10" s="6" t="s">
        <v>347</v>
      </c>
      <c r="F10" s="9">
        <v>200</v>
      </c>
    </row>
    <row r="12" spans="1:8" x14ac:dyDescent="0.2">
      <c r="A12" s="10" t="s">
        <v>209</v>
      </c>
      <c r="B12" s="11"/>
      <c r="C12" s="12">
        <f>SUM(C5:C10)</f>
        <v>1115</v>
      </c>
      <c r="D12" s="11"/>
      <c r="E12" s="11"/>
      <c r="F12" s="12">
        <f>SUM(F5:F10)</f>
        <v>1100</v>
      </c>
    </row>
    <row r="13" spans="1:8" x14ac:dyDescent="0.2">
      <c r="A13" s="2" t="s">
        <v>210</v>
      </c>
      <c r="B13" s="2"/>
      <c r="C13" s="2"/>
      <c r="D13" s="2"/>
      <c r="E13" s="2"/>
      <c r="F13" s="13">
        <f>F12-C12</f>
        <v>-15</v>
      </c>
    </row>
  </sheetData>
  <mergeCells count="3">
    <mergeCell ref="A1:F1"/>
    <mergeCell ref="A2:F2"/>
    <mergeCell ref="A13:E13"/>
  </mergeCells>
  <hyperlinks>
    <hyperlink ref="H1" r:id="rId1" location="'Summary'!A1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"/>
  <sheetViews>
    <sheetView showGridLines="0" zoomScale="200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422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219</v>
      </c>
      <c r="B5" s="6" t="s">
        <v>203</v>
      </c>
      <c r="C5" s="9">
        <v>20</v>
      </c>
      <c r="D5" s="6"/>
      <c r="E5" s="6"/>
      <c r="F5" s="9"/>
    </row>
    <row r="6" spans="1:8" x14ac:dyDescent="0.2">
      <c r="A6" s="6" t="s">
        <v>205</v>
      </c>
      <c r="B6" s="6" t="s">
        <v>203</v>
      </c>
      <c r="C6" s="9">
        <v>20</v>
      </c>
      <c r="D6" s="6"/>
      <c r="E6" s="6"/>
      <c r="F6" s="9"/>
    </row>
    <row r="8" spans="1:8" x14ac:dyDescent="0.2">
      <c r="A8" s="10" t="s">
        <v>209</v>
      </c>
      <c r="B8" s="11"/>
      <c r="C8" s="12">
        <f>SUM(C5:C6)</f>
        <v>40</v>
      </c>
      <c r="D8" s="11"/>
      <c r="E8" s="11"/>
      <c r="F8" s="12">
        <f>SUM(F5:F6)</f>
        <v>0</v>
      </c>
    </row>
    <row r="9" spans="1:8" x14ac:dyDescent="0.2">
      <c r="A9" s="2" t="s">
        <v>210</v>
      </c>
      <c r="B9" s="2"/>
      <c r="C9" s="2"/>
      <c r="D9" s="2"/>
      <c r="E9" s="2"/>
      <c r="F9" s="13">
        <f>F8-C8</f>
        <v>-40</v>
      </c>
    </row>
  </sheetData>
  <mergeCells count="3">
    <mergeCell ref="A1:F1"/>
    <mergeCell ref="A2:F2"/>
    <mergeCell ref="A9:E9"/>
  </mergeCells>
  <hyperlinks>
    <hyperlink ref="H1" r:id="rId1" location="'Summary'!A1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showGridLines="0" zoomScale="182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423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100</v>
      </c>
      <c r="D5" s="6" t="s">
        <v>425</v>
      </c>
      <c r="E5" s="6" t="s">
        <v>426</v>
      </c>
      <c r="F5" s="9">
        <v>100</v>
      </c>
    </row>
    <row r="6" spans="1:8" x14ac:dyDescent="0.2">
      <c r="A6" s="6" t="s">
        <v>282</v>
      </c>
      <c r="B6" s="6" t="s">
        <v>283</v>
      </c>
      <c r="C6" s="9">
        <v>100</v>
      </c>
      <c r="D6" s="6" t="s">
        <v>427</v>
      </c>
      <c r="E6" s="6" t="s">
        <v>285</v>
      </c>
      <c r="F6" s="9">
        <v>100</v>
      </c>
    </row>
    <row r="7" spans="1:8" x14ac:dyDescent="0.2">
      <c r="A7" s="6" t="s">
        <v>428</v>
      </c>
      <c r="B7" s="6" t="s">
        <v>429</v>
      </c>
      <c r="C7" s="9">
        <v>80</v>
      </c>
      <c r="D7" s="6" t="s">
        <v>430</v>
      </c>
      <c r="E7" s="6" t="s">
        <v>426</v>
      </c>
      <c r="F7" s="9">
        <v>80</v>
      </c>
    </row>
    <row r="8" spans="1:8" x14ac:dyDescent="0.2">
      <c r="A8" s="6" t="s">
        <v>431</v>
      </c>
      <c r="B8" s="6" t="s">
        <v>344</v>
      </c>
      <c r="C8" s="9">
        <v>15</v>
      </c>
      <c r="D8" s="6" t="s">
        <v>432</v>
      </c>
      <c r="E8" s="6" t="s">
        <v>426</v>
      </c>
      <c r="F8" s="9">
        <v>14.1</v>
      </c>
    </row>
    <row r="9" spans="1:8" x14ac:dyDescent="0.2">
      <c r="A9" s="6" t="s">
        <v>433</v>
      </c>
      <c r="B9" s="6" t="s">
        <v>270</v>
      </c>
      <c r="C9" s="9">
        <v>9</v>
      </c>
      <c r="D9" s="6" t="s">
        <v>434</v>
      </c>
      <c r="E9" s="6" t="s">
        <v>426</v>
      </c>
      <c r="F9" s="9">
        <v>9</v>
      </c>
    </row>
    <row r="11" spans="1:8" x14ac:dyDescent="0.2">
      <c r="A11" s="10" t="s">
        <v>209</v>
      </c>
      <c r="B11" s="11"/>
      <c r="C11" s="12">
        <f>SUM(C5:C9)</f>
        <v>304</v>
      </c>
      <c r="D11" s="11"/>
      <c r="E11" s="11"/>
      <c r="F11" s="12">
        <f>SUM(F5:F9)</f>
        <v>303.10000000000002</v>
      </c>
    </row>
    <row r="12" spans="1:8" x14ac:dyDescent="0.2">
      <c r="A12" s="2" t="s">
        <v>210</v>
      </c>
      <c r="B12" s="2"/>
      <c r="C12" s="2"/>
      <c r="D12" s="2"/>
      <c r="E12" s="2"/>
      <c r="F12" s="13">
        <f>F11-C11</f>
        <v>-0.89999999999997726</v>
      </c>
    </row>
  </sheetData>
  <mergeCells count="3">
    <mergeCell ref="A1:F1"/>
    <mergeCell ref="A2:F2"/>
    <mergeCell ref="A12:E12"/>
  </mergeCells>
  <hyperlinks>
    <hyperlink ref="H1" r:id="rId1" location="'Summary'!A1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2"/>
  <sheetViews>
    <sheetView showGridLines="0" zoomScale="200" zoomScaleNormal="100" workbookViewId="0">
      <selection sqref="A1:F12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435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433</v>
      </c>
      <c r="B5" s="6" t="s">
        <v>270</v>
      </c>
      <c r="C5" s="9">
        <v>790</v>
      </c>
      <c r="D5" s="6" t="s">
        <v>434</v>
      </c>
      <c r="E5" s="6" t="s">
        <v>426</v>
      </c>
      <c r="F5" s="9">
        <v>790</v>
      </c>
    </row>
    <row r="6" spans="1:8" x14ac:dyDescent="0.2">
      <c r="A6" s="6" t="s">
        <v>294</v>
      </c>
      <c r="B6" s="6" t="s">
        <v>270</v>
      </c>
      <c r="C6" s="9">
        <v>610</v>
      </c>
      <c r="D6" s="6" t="s">
        <v>436</v>
      </c>
      <c r="E6" s="6" t="s">
        <v>426</v>
      </c>
      <c r="F6" s="9">
        <v>610</v>
      </c>
    </row>
    <row r="7" spans="1:8" x14ac:dyDescent="0.2">
      <c r="A7" s="34" t="s">
        <v>437</v>
      </c>
      <c r="B7" s="34" t="s">
        <v>270</v>
      </c>
      <c r="C7" s="35">
        <v>610</v>
      </c>
      <c r="D7" s="6"/>
      <c r="E7" s="6"/>
      <c r="F7" s="9"/>
    </row>
    <row r="8" spans="1:8" x14ac:dyDescent="0.2">
      <c r="A8" s="6" t="s">
        <v>282</v>
      </c>
      <c r="B8" s="6" t="s">
        <v>283</v>
      </c>
      <c r="C8" s="9">
        <v>252.5</v>
      </c>
      <c r="D8" s="6" t="s">
        <v>427</v>
      </c>
      <c r="E8" s="6" t="s">
        <v>285</v>
      </c>
      <c r="F8" s="9">
        <v>252.5</v>
      </c>
    </row>
    <row r="9" spans="1:8" x14ac:dyDescent="0.2">
      <c r="A9" s="6" t="s">
        <v>309</v>
      </c>
      <c r="B9" s="6" t="s">
        <v>221</v>
      </c>
      <c r="C9" s="9">
        <v>111</v>
      </c>
      <c r="D9" s="6" t="s">
        <v>438</v>
      </c>
      <c r="E9" s="6" t="s">
        <v>285</v>
      </c>
      <c r="F9" s="9">
        <v>110.83</v>
      </c>
    </row>
    <row r="11" spans="1:8" x14ac:dyDescent="0.2">
      <c r="A11" s="10" t="s">
        <v>209</v>
      </c>
      <c r="B11" s="11"/>
      <c r="C11" s="12">
        <f>SUM(C5:C9)</f>
        <v>2373.5</v>
      </c>
      <c r="D11" s="11"/>
      <c r="E11" s="11"/>
      <c r="F11" s="12">
        <f>SUM(F5:F9)</f>
        <v>1763.33</v>
      </c>
    </row>
    <row r="12" spans="1:8" x14ac:dyDescent="0.2">
      <c r="A12" s="2" t="s">
        <v>210</v>
      </c>
      <c r="B12" s="2"/>
      <c r="C12" s="2"/>
      <c r="D12" s="2"/>
      <c r="E12" s="2"/>
      <c r="F12" s="13">
        <f>F11-C11</f>
        <v>-610.17000000000007</v>
      </c>
    </row>
  </sheetData>
  <mergeCells count="3">
    <mergeCell ref="A1:F1"/>
    <mergeCell ref="A2:F2"/>
    <mergeCell ref="A12:E12"/>
  </mergeCells>
  <hyperlinks>
    <hyperlink ref="H1" r:id="rId1" location="'Summary'!A1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showGridLines="0" zoomScale="178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439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220</v>
      </c>
      <c r="D5" s="6" t="s">
        <v>440</v>
      </c>
      <c r="E5" s="6" t="s">
        <v>338</v>
      </c>
      <c r="F5" s="9">
        <v>220</v>
      </c>
    </row>
    <row r="6" spans="1:8" x14ac:dyDescent="0.2">
      <c r="A6" s="34" t="s">
        <v>437</v>
      </c>
      <c r="B6" s="34" t="s">
        <v>270</v>
      </c>
      <c r="C6" s="35">
        <v>220</v>
      </c>
      <c r="D6" s="6" t="s">
        <v>441</v>
      </c>
      <c r="E6" s="6" t="s">
        <v>338</v>
      </c>
      <c r="F6" s="9">
        <v>16</v>
      </c>
    </row>
    <row r="8" spans="1:8" x14ac:dyDescent="0.2">
      <c r="A8" s="10" t="s">
        <v>209</v>
      </c>
      <c r="B8" s="11"/>
      <c r="C8" s="12">
        <f>SUM(C5:C6)</f>
        <v>440</v>
      </c>
      <c r="D8" s="11"/>
      <c r="E8" s="11"/>
      <c r="F8" s="12">
        <f>SUM(F5:F6)</f>
        <v>236</v>
      </c>
    </row>
    <row r="9" spans="1:8" x14ac:dyDescent="0.2">
      <c r="A9" s="2" t="s">
        <v>210</v>
      </c>
      <c r="B9" s="2"/>
      <c r="C9" s="2"/>
      <c r="D9" s="2"/>
      <c r="E9" s="2"/>
      <c r="F9" s="13">
        <f>F8-C8</f>
        <v>-204</v>
      </c>
    </row>
  </sheetData>
  <mergeCells count="3">
    <mergeCell ref="A1:F1"/>
    <mergeCell ref="A2:F2"/>
    <mergeCell ref="A9:E9"/>
  </mergeCells>
  <hyperlinks>
    <hyperlink ref="H1" r:id="rId1" location="'Summary'!A1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9"/>
  <sheetViews>
    <sheetView showGridLines="0" zoomScale="171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442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274</v>
      </c>
      <c r="D5" s="6" t="s">
        <v>440</v>
      </c>
      <c r="E5" s="6" t="s">
        <v>338</v>
      </c>
      <c r="F5" s="9">
        <v>274</v>
      </c>
    </row>
    <row r="6" spans="1:8" x14ac:dyDescent="0.2">
      <c r="A6" s="34" t="s">
        <v>437</v>
      </c>
      <c r="B6" s="34" t="s">
        <v>270</v>
      </c>
      <c r="C6" s="35">
        <v>274</v>
      </c>
      <c r="D6" s="6" t="s">
        <v>443</v>
      </c>
      <c r="E6" s="6" t="s">
        <v>338</v>
      </c>
      <c r="F6" s="9">
        <v>3</v>
      </c>
    </row>
    <row r="8" spans="1:8" x14ac:dyDescent="0.2">
      <c r="A8" s="10" t="s">
        <v>209</v>
      </c>
      <c r="B8" s="11"/>
      <c r="C8" s="12">
        <f>SUM(C5:C6)</f>
        <v>548</v>
      </c>
      <c r="D8" s="11"/>
      <c r="E8" s="11"/>
      <c r="F8" s="12">
        <f>SUM(F5:F6)</f>
        <v>277</v>
      </c>
    </row>
    <row r="9" spans="1:8" x14ac:dyDescent="0.2">
      <c r="A9" s="2" t="s">
        <v>210</v>
      </c>
      <c r="B9" s="2"/>
      <c r="C9" s="2"/>
      <c r="D9" s="2"/>
      <c r="E9" s="2"/>
      <c r="F9" s="13">
        <f>F8-C8</f>
        <v>-271</v>
      </c>
    </row>
  </sheetData>
  <mergeCells count="3">
    <mergeCell ref="A1:F1"/>
    <mergeCell ref="A2:F2"/>
    <mergeCell ref="A9:E9"/>
  </mergeCells>
  <hyperlinks>
    <hyperlink ref="H1" r:id="rId1" location="'Summary'!A1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"/>
  <sheetViews>
    <sheetView showGridLines="0" zoomScale="180" zoomScaleNormal="100" workbookViewId="0">
      <selection activeCell="A5" sqref="A5:C5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444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1016</v>
      </c>
      <c r="C5" s="35"/>
      <c r="D5" s="6" t="s">
        <v>445</v>
      </c>
      <c r="E5" s="6" t="s">
        <v>446</v>
      </c>
      <c r="F5" s="9">
        <v>2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2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2</v>
      </c>
    </row>
  </sheetData>
  <mergeCells count="3">
    <mergeCell ref="A1:F1"/>
    <mergeCell ref="A2:F2"/>
    <mergeCell ref="A8:E8"/>
  </mergeCells>
  <hyperlinks>
    <hyperlink ref="H1" r:id="rId1" location="'Summary'!A1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8"/>
  <sheetViews>
    <sheetView showGridLines="0" zoomScale="193" zoomScaleNormal="100" workbookViewId="0">
      <selection activeCell="D13" sqref="D13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447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1017</v>
      </c>
      <c r="C5" s="35"/>
      <c r="D5" s="6" t="s">
        <v>448</v>
      </c>
      <c r="E5" s="6" t="s">
        <v>338</v>
      </c>
      <c r="F5" s="9">
        <v>2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2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2</v>
      </c>
    </row>
  </sheetData>
  <mergeCells count="3">
    <mergeCell ref="A1:F1"/>
    <mergeCell ref="A2:F2"/>
    <mergeCell ref="A8:E8"/>
  </mergeCells>
  <hyperlinks>
    <hyperlink ref="H1" r:id="rId1" location="'Summary'!A1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"/>
  <sheetViews>
    <sheetView showGridLines="0" zoomScale="172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449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2</v>
      </c>
      <c r="D5" s="6" t="s">
        <v>448</v>
      </c>
      <c r="E5" s="6" t="s">
        <v>338</v>
      </c>
      <c r="F5" s="9">
        <v>4</v>
      </c>
    </row>
    <row r="6" spans="1:8" x14ac:dyDescent="0.2">
      <c r="A6" s="6" t="s">
        <v>437</v>
      </c>
      <c r="B6" s="6" t="s">
        <v>270</v>
      </c>
      <c r="C6" s="9">
        <v>2</v>
      </c>
      <c r="D6" s="6" t="s">
        <v>440</v>
      </c>
      <c r="E6" s="6" t="s">
        <v>338</v>
      </c>
      <c r="F6" s="9">
        <v>2</v>
      </c>
    </row>
    <row r="8" spans="1:8" x14ac:dyDescent="0.2">
      <c r="A8" s="10" t="s">
        <v>209</v>
      </c>
      <c r="B8" s="11"/>
      <c r="C8" s="12">
        <f>SUM(C5:C6)</f>
        <v>4</v>
      </c>
      <c r="D8" s="11"/>
      <c r="E8" s="11"/>
      <c r="F8" s="12">
        <f>SUM(F5:F6)</f>
        <v>6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2</v>
      </c>
    </row>
  </sheetData>
  <mergeCells count="3">
    <mergeCell ref="A1:F1"/>
    <mergeCell ref="A2:F2"/>
    <mergeCell ref="A9:E9"/>
  </mergeCells>
  <hyperlinks>
    <hyperlink ref="H1" r:id="rId1" location="'Summary'!A1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9"/>
  <sheetViews>
    <sheetView showGridLines="0" zoomScale="160" zoomScaleNormal="100" workbookViewId="0">
      <selection activeCell="A6" sqref="A6:C6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450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451</v>
      </c>
      <c r="B5" s="6" t="s">
        <v>452</v>
      </c>
      <c r="C5" s="9">
        <v>5</v>
      </c>
      <c r="D5" s="6" t="s">
        <v>453</v>
      </c>
      <c r="E5" s="6" t="s">
        <v>207</v>
      </c>
      <c r="F5" s="9">
        <v>5</v>
      </c>
    </row>
    <row r="6" spans="1:8" x14ac:dyDescent="0.2">
      <c r="A6" s="34"/>
      <c r="B6" s="34" t="s">
        <v>1016</v>
      </c>
      <c r="C6" s="35"/>
      <c r="D6" s="6" t="s">
        <v>445</v>
      </c>
      <c r="E6" s="6" t="s">
        <v>446</v>
      </c>
      <c r="F6" s="9">
        <v>1</v>
      </c>
    </row>
    <row r="8" spans="1:8" x14ac:dyDescent="0.2">
      <c r="A8" s="10" t="s">
        <v>209</v>
      </c>
      <c r="B8" s="11"/>
      <c r="C8" s="12">
        <f>SUM(C5:C6)</f>
        <v>5</v>
      </c>
      <c r="D8" s="11"/>
      <c r="E8" s="11"/>
      <c r="F8" s="12">
        <f>SUM(F5:F6)</f>
        <v>6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</v>
      </c>
    </row>
  </sheetData>
  <mergeCells count="3">
    <mergeCell ref="A1:F1"/>
    <mergeCell ref="A2:F2"/>
    <mergeCell ref="A9:E9"/>
  </mergeCells>
  <hyperlinks>
    <hyperlink ref="H1" r:id="rId1" location="'Summary'!A1" xr:uid="{00000000-0004-0000-1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showGridLines="0" zoomScale="176" zoomScaleNormal="100" workbookViewId="0">
      <selection activeCell="A5" sqref="A5:C6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454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46" t="s">
        <v>1016</v>
      </c>
      <c r="C5" s="35"/>
      <c r="D5" s="6" t="s">
        <v>445</v>
      </c>
      <c r="E5" s="6" t="s">
        <v>446</v>
      </c>
      <c r="F5" s="9">
        <v>11</v>
      </c>
    </row>
    <row r="6" spans="1:8" x14ac:dyDescent="0.2">
      <c r="A6" s="34"/>
      <c r="B6" s="34" t="s">
        <v>1018</v>
      </c>
      <c r="C6" s="35"/>
      <c r="D6" s="6" t="s">
        <v>455</v>
      </c>
      <c r="E6" s="6" t="s">
        <v>338</v>
      </c>
      <c r="F6" s="9">
        <v>1</v>
      </c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12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12</v>
      </c>
    </row>
  </sheetData>
  <mergeCells count="3">
    <mergeCell ref="A1:F1"/>
    <mergeCell ref="A2:F2"/>
    <mergeCell ref="A9:E9"/>
  </mergeCells>
  <hyperlinks>
    <hyperlink ref="H1" r:id="rId1" location="'Summary'!A1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8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456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457</v>
      </c>
      <c r="E5" s="6" t="s">
        <v>458</v>
      </c>
      <c r="F5" s="9">
        <v>25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25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25</v>
      </c>
    </row>
  </sheetData>
  <mergeCells count="3">
    <mergeCell ref="A1:F1"/>
    <mergeCell ref="A2:F2"/>
    <mergeCell ref="A8:E8"/>
  </mergeCells>
  <hyperlinks>
    <hyperlink ref="H1" r:id="rId1" location="'Summary'!A1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8"/>
  <sheetViews>
    <sheetView showGridLines="0" zoomScale="165" zoomScaleNormal="100" workbookViewId="0">
      <selection sqref="A1:F8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459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1019</v>
      </c>
      <c r="C5" s="35"/>
      <c r="D5" s="6" t="s">
        <v>460</v>
      </c>
      <c r="E5" s="6" t="s">
        <v>461</v>
      </c>
      <c r="F5" s="9">
        <v>1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1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1</v>
      </c>
    </row>
  </sheetData>
  <mergeCells count="3">
    <mergeCell ref="A1:F1"/>
    <mergeCell ref="A2:F2"/>
    <mergeCell ref="A8:E8"/>
  </mergeCells>
  <hyperlinks>
    <hyperlink ref="H1" r:id="rId1" location="'Summary'!A1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9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462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/>
      <c r="E5" s="6"/>
      <c r="F5" s="9"/>
    </row>
    <row r="6" spans="1:8" x14ac:dyDescent="0.2">
      <c r="A6" s="1" t="s">
        <v>463</v>
      </c>
      <c r="B6" s="1"/>
      <c r="C6" s="1"/>
      <c r="D6" s="1"/>
      <c r="E6" s="1"/>
      <c r="F6" s="1"/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0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0</v>
      </c>
    </row>
  </sheetData>
  <mergeCells count="4">
    <mergeCell ref="A1:F1"/>
    <mergeCell ref="A2:F2"/>
    <mergeCell ref="A6:F6"/>
    <mergeCell ref="A9:E9"/>
  </mergeCells>
  <hyperlinks>
    <hyperlink ref="H1" r:id="rId1" location="'Summary'!A1" xr:uid="{00000000-0004-0000-1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"/>
  <sheetViews>
    <sheetView showGridLines="0" zoomScale="150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464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248</v>
      </c>
      <c r="B5" s="6" t="s">
        <v>234</v>
      </c>
      <c r="C5" s="9">
        <v>1</v>
      </c>
      <c r="D5" s="6" t="s">
        <v>252</v>
      </c>
      <c r="E5" s="6" t="s">
        <v>236</v>
      </c>
      <c r="F5" s="9">
        <v>2</v>
      </c>
    </row>
    <row r="6" spans="1:8" x14ac:dyDescent="0.2">
      <c r="A6" s="6" t="s">
        <v>258</v>
      </c>
      <c r="B6" s="6" t="s">
        <v>226</v>
      </c>
      <c r="C6" s="9">
        <v>1</v>
      </c>
      <c r="D6" s="6" t="s">
        <v>362</v>
      </c>
      <c r="E6" s="6" t="s">
        <v>236</v>
      </c>
      <c r="F6" s="9">
        <v>1</v>
      </c>
    </row>
    <row r="7" spans="1:8" x14ac:dyDescent="0.2">
      <c r="A7" s="6"/>
      <c r="B7" s="6"/>
      <c r="C7" s="9"/>
      <c r="D7" s="6" t="s">
        <v>465</v>
      </c>
      <c r="E7" s="6" t="s">
        <v>201</v>
      </c>
      <c r="F7" s="9">
        <v>1</v>
      </c>
    </row>
    <row r="9" spans="1:8" x14ac:dyDescent="0.2">
      <c r="A9" s="10" t="s">
        <v>209</v>
      </c>
      <c r="B9" s="11"/>
      <c r="C9" s="12">
        <f>SUM(C5:C7)</f>
        <v>2</v>
      </c>
      <c r="D9" s="11"/>
      <c r="E9" s="11"/>
      <c r="F9" s="12">
        <f>SUM(F5:F7)</f>
        <v>4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2</v>
      </c>
    </row>
  </sheetData>
  <mergeCells count="3">
    <mergeCell ref="A1:F1"/>
    <mergeCell ref="A2:F2"/>
    <mergeCell ref="A10:E10"/>
  </mergeCells>
  <hyperlinks>
    <hyperlink ref="H1" r:id="rId1" location="'Summary'!A1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"/>
  <sheetViews>
    <sheetView showGridLines="0" zoomScale="160" zoomScaleNormal="100" workbookViewId="0">
      <selection sqref="A1:F8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466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1020</v>
      </c>
      <c r="C5" s="35"/>
      <c r="D5" s="6" t="s">
        <v>467</v>
      </c>
      <c r="E5" s="6" t="s">
        <v>207</v>
      </c>
      <c r="F5" s="9">
        <v>1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1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1</v>
      </c>
    </row>
  </sheetData>
  <mergeCells count="3">
    <mergeCell ref="A1:F1"/>
    <mergeCell ref="A2:F2"/>
    <mergeCell ref="A8:E8"/>
  </mergeCells>
  <hyperlinks>
    <hyperlink ref="H1" r:id="rId1" location="'Summary'!A1" xr:uid="{00000000-0004-0000-2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"/>
  <sheetViews>
    <sheetView showGridLines="0" zoomScale="159" zoomScaleNormal="100" workbookViewId="0">
      <selection activeCell="D21" sqref="D2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468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469</v>
      </c>
      <c r="B5" s="6" t="s">
        <v>452</v>
      </c>
      <c r="C5" s="9">
        <v>18</v>
      </c>
      <c r="D5" s="6" t="s">
        <v>470</v>
      </c>
      <c r="E5" s="6" t="s">
        <v>207</v>
      </c>
      <c r="F5" s="9">
        <v>18</v>
      </c>
    </row>
    <row r="6" spans="1:8" x14ac:dyDescent="0.2">
      <c r="A6" s="34"/>
      <c r="B6" s="34" t="s">
        <v>1017</v>
      </c>
      <c r="C6" s="35"/>
      <c r="D6" s="6" t="s">
        <v>471</v>
      </c>
      <c r="E6" s="6" t="s">
        <v>472</v>
      </c>
      <c r="F6" s="9">
        <v>17</v>
      </c>
    </row>
    <row r="7" spans="1:8" x14ac:dyDescent="0.2">
      <c r="A7" s="34"/>
      <c r="B7" s="46" t="s">
        <v>1016</v>
      </c>
      <c r="C7" s="35"/>
      <c r="D7" s="6" t="s">
        <v>445</v>
      </c>
      <c r="E7" s="6" t="s">
        <v>446</v>
      </c>
      <c r="F7" s="9">
        <v>7</v>
      </c>
    </row>
    <row r="9" spans="1:8" x14ac:dyDescent="0.2">
      <c r="A9" s="10" t="s">
        <v>209</v>
      </c>
      <c r="B9" s="11"/>
      <c r="C9" s="12">
        <f>SUM(C5:C7)</f>
        <v>18</v>
      </c>
      <c r="D9" s="11"/>
      <c r="E9" s="11"/>
      <c r="F9" s="12">
        <f>SUM(F5:F7)</f>
        <v>42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24</v>
      </c>
    </row>
  </sheetData>
  <mergeCells count="3">
    <mergeCell ref="A1:F1"/>
    <mergeCell ref="A2:F2"/>
    <mergeCell ref="A10:E10"/>
  </mergeCells>
  <hyperlinks>
    <hyperlink ref="H1" r:id="rId1" location="'Summary'!A1" xr:uid="{00000000-0004-0000-2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0"/>
  <sheetViews>
    <sheetView showGridLines="0" zoomScale="178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473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8</v>
      </c>
      <c r="D5" s="6" t="s">
        <v>474</v>
      </c>
      <c r="E5" s="6" t="s">
        <v>426</v>
      </c>
      <c r="F5" s="9">
        <v>8</v>
      </c>
    </row>
    <row r="6" spans="1:8" x14ac:dyDescent="0.2">
      <c r="A6" s="6" t="s">
        <v>475</v>
      </c>
      <c r="B6" s="6" t="s">
        <v>270</v>
      </c>
      <c r="C6" s="9">
        <v>1</v>
      </c>
      <c r="D6" s="6" t="s">
        <v>476</v>
      </c>
      <c r="E6" s="6" t="s">
        <v>477</v>
      </c>
      <c r="F6" s="9">
        <v>5</v>
      </c>
    </row>
    <row r="7" spans="1:8" x14ac:dyDescent="0.2">
      <c r="A7" s="34"/>
      <c r="B7" s="34" t="s">
        <v>270</v>
      </c>
      <c r="C7" s="35"/>
      <c r="D7" s="6" t="s">
        <v>476</v>
      </c>
      <c r="E7" s="6" t="s">
        <v>477</v>
      </c>
      <c r="F7" s="9">
        <v>5</v>
      </c>
    </row>
    <row r="9" spans="1:8" x14ac:dyDescent="0.2">
      <c r="A9" s="10" t="s">
        <v>209</v>
      </c>
      <c r="B9" s="11"/>
      <c r="C9" s="12">
        <f>SUM(C5:C7)</f>
        <v>9</v>
      </c>
      <c r="D9" s="11"/>
      <c r="E9" s="11"/>
      <c r="F9" s="12">
        <f>SUM(F5:F7)</f>
        <v>18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9</v>
      </c>
    </row>
  </sheetData>
  <mergeCells count="3">
    <mergeCell ref="A1:F1"/>
    <mergeCell ref="A2:F2"/>
    <mergeCell ref="A10:E10"/>
  </mergeCells>
  <hyperlinks>
    <hyperlink ref="H1" r:id="rId1" location="'Summary'!A1" xr:uid="{00000000-0004-0000-2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2"/>
  <sheetViews>
    <sheetView showGridLines="0" zoomScale="217" zoomScaleNormal="100" workbookViewId="0">
      <selection sqref="A1:F12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478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 t="s">
        <v>269</v>
      </c>
      <c r="B5" s="34" t="s">
        <v>270</v>
      </c>
      <c r="C5" s="35">
        <v>290</v>
      </c>
      <c r="D5" s="34" t="s">
        <v>479</v>
      </c>
      <c r="E5" s="34" t="s">
        <v>392</v>
      </c>
      <c r="F5" s="35">
        <v>220</v>
      </c>
    </row>
    <row r="6" spans="1:8" x14ac:dyDescent="0.2">
      <c r="A6" s="34"/>
      <c r="B6" s="34"/>
      <c r="C6" s="35"/>
      <c r="D6" s="34" t="s">
        <v>398</v>
      </c>
      <c r="E6" s="34" t="s">
        <v>318</v>
      </c>
      <c r="F6" s="35">
        <v>90</v>
      </c>
    </row>
    <row r="7" spans="1:8" x14ac:dyDescent="0.2">
      <c r="A7" s="6" t="s">
        <v>413</v>
      </c>
      <c r="B7" s="6" t="s">
        <v>283</v>
      </c>
      <c r="C7" s="9">
        <v>250</v>
      </c>
      <c r="D7" s="6" t="s">
        <v>416</v>
      </c>
      <c r="E7" s="6" t="s">
        <v>214</v>
      </c>
      <c r="F7" s="9">
        <v>250</v>
      </c>
    </row>
    <row r="8" spans="1:8" x14ac:dyDescent="0.2">
      <c r="A8" s="6" t="s">
        <v>480</v>
      </c>
      <c r="B8" s="6" t="s">
        <v>270</v>
      </c>
      <c r="C8" s="9">
        <v>200</v>
      </c>
      <c r="D8" s="6" t="s">
        <v>481</v>
      </c>
      <c r="E8" s="6" t="s">
        <v>318</v>
      </c>
      <c r="F8" s="9">
        <v>200</v>
      </c>
    </row>
    <row r="9" spans="1:8" x14ac:dyDescent="0.2">
      <c r="A9" s="6" t="s">
        <v>482</v>
      </c>
      <c r="B9" s="6" t="s">
        <v>275</v>
      </c>
      <c r="C9" s="9">
        <v>150</v>
      </c>
      <c r="D9" s="6" t="s">
        <v>483</v>
      </c>
      <c r="E9" s="6" t="s">
        <v>214</v>
      </c>
      <c r="F9" s="9">
        <v>150</v>
      </c>
    </row>
    <row r="10" spans="1:8" x14ac:dyDescent="0.2">
      <c r="A10" s="6"/>
      <c r="B10" s="6"/>
      <c r="C10" s="9"/>
      <c r="D10" s="6"/>
      <c r="E10" s="6"/>
      <c r="F10" s="9"/>
    </row>
    <row r="11" spans="1:8" x14ac:dyDescent="0.2">
      <c r="A11" s="10" t="s">
        <v>209</v>
      </c>
      <c r="B11" s="11"/>
      <c r="C11" s="12">
        <f>SUM(C5:C10)</f>
        <v>890</v>
      </c>
      <c r="D11" s="11"/>
      <c r="E11" s="11"/>
      <c r="F11" s="12">
        <f>SUM(F5:F10)</f>
        <v>910</v>
      </c>
    </row>
    <row r="12" spans="1:8" x14ac:dyDescent="0.2">
      <c r="A12" s="2" t="s">
        <v>210</v>
      </c>
      <c r="B12" s="2"/>
      <c r="C12" s="2"/>
      <c r="D12" s="2"/>
      <c r="E12" s="2"/>
      <c r="F12" s="12">
        <f>F11-C11</f>
        <v>20</v>
      </c>
    </row>
  </sheetData>
  <mergeCells count="3">
    <mergeCell ref="A1:F1"/>
    <mergeCell ref="A2:F2"/>
    <mergeCell ref="A12:E12"/>
  </mergeCells>
  <hyperlinks>
    <hyperlink ref="H1" r:id="rId1" location="'Summary'!A1" xr:uid="{00000000-0004-0000-2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9"/>
  <sheetViews>
    <sheetView showGridLines="0" zoomScale="158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484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1020</v>
      </c>
      <c r="C5" s="35"/>
      <c r="D5" s="6" t="s">
        <v>485</v>
      </c>
      <c r="E5" s="6" t="s">
        <v>207</v>
      </c>
      <c r="F5" s="9">
        <v>1</v>
      </c>
    </row>
    <row r="6" spans="1:8" x14ac:dyDescent="0.2">
      <c r="A6" s="34"/>
      <c r="B6" s="34" t="s">
        <v>1020</v>
      </c>
      <c r="C6" s="35"/>
      <c r="D6" s="6" t="s">
        <v>467</v>
      </c>
      <c r="E6" s="6" t="s">
        <v>207</v>
      </c>
      <c r="F6" s="9">
        <v>1</v>
      </c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2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2</v>
      </c>
    </row>
  </sheetData>
  <mergeCells count="3">
    <mergeCell ref="A1:F1"/>
    <mergeCell ref="A2:F2"/>
    <mergeCell ref="A9:E9"/>
  </mergeCells>
  <hyperlinks>
    <hyperlink ref="H1" r:id="rId1" location="'Summary'!A1" xr:uid="{00000000-0004-0000-2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"/>
  <sheetViews>
    <sheetView showGridLines="0" zoomScale="185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486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100</v>
      </c>
      <c r="D5" s="6" t="s">
        <v>440</v>
      </c>
      <c r="E5" s="6" t="s">
        <v>338</v>
      </c>
      <c r="F5" s="9">
        <v>100</v>
      </c>
    </row>
    <row r="6" spans="1:8" x14ac:dyDescent="0.2">
      <c r="A6" s="34" t="s">
        <v>437</v>
      </c>
      <c r="B6" s="34" t="s">
        <v>270</v>
      </c>
      <c r="C6" s="35">
        <v>100</v>
      </c>
      <c r="D6" s="6" t="s">
        <v>487</v>
      </c>
      <c r="E6" s="6" t="s">
        <v>338</v>
      </c>
      <c r="F6" s="9">
        <v>34</v>
      </c>
    </row>
    <row r="7" spans="1:8" x14ac:dyDescent="0.2">
      <c r="A7" s="34" t="s">
        <v>306</v>
      </c>
      <c r="B7" s="34" t="s">
        <v>270</v>
      </c>
      <c r="C7" s="35">
        <v>13</v>
      </c>
      <c r="D7" s="6" t="s">
        <v>488</v>
      </c>
      <c r="E7" s="6" t="s">
        <v>338</v>
      </c>
      <c r="F7" s="9">
        <v>34</v>
      </c>
    </row>
    <row r="9" spans="1:8" x14ac:dyDescent="0.2">
      <c r="A9" s="10" t="s">
        <v>209</v>
      </c>
      <c r="B9" s="11"/>
      <c r="C9" s="12">
        <f>SUM(C5:C7)</f>
        <v>213</v>
      </c>
      <c r="D9" s="11"/>
      <c r="E9" s="11"/>
      <c r="F9" s="12">
        <f>SUM(F5:F7)</f>
        <v>168</v>
      </c>
    </row>
    <row r="10" spans="1:8" x14ac:dyDescent="0.2">
      <c r="A10" s="2" t="s">
        <v>210</v>
      </c>
      <c r="B10" s="2"/>
      <c r="C10" s="2"/>
      <c r="D10" s="2"/>
      <c r="E10" s="2"/>
      <c r="F10" s="13">
        <f>F9-C9</f>
        <v>-45</v>
      </c>
    </row>
  </sheetData>
  <mergeCells count="3">
    <mergeCell ref="A1:F1"/>
    <mergeCell ref="A2:F2"/>
    <mergeCell ref="A10:E10"/>
  </mergeCells>
  <hyperlinks>
    <hyperlink ref="H1" r:id="rId1" location="'Summary'!A1" xr:uid="{00000000-0004-0000-2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"/>
  <sheetViews>
    <sheetView showGridLines="0" zoomScale="192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489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1020</v>
      </c>
      <c r="C5" s="35"/>
      <c r="D5" s="6" t="s">
        <v>490</v>
      </c>
      <c r="E5" s="6" t="s">
        <v>207</v>
      </c>
      <c r="F5" s="9">
        <v>13</v>
      </c>
    </row>
    <row r="6" spans="1:8" x14ac:dyDescent="0.2">
      <c r="A6" s="34"/>
      <c r="B6" s="46" t="s">
        <v>1021</v>
      </c>
      <c r="C6" s="35"/>
      <c r="D6" s="6" t="s">
        <v>491</v>
      </c>
      <c r="E6" s="6" t="s">
        <v>265</v>
      </c>
      <c r="F6" s="9">
        <v>6</v>
      </c>
    </row>
    <row r="7" spans="1:8" x14ac:dyDescent="0.2">
      <c r="A7" s="34"/>
      <c r="B7" s="34" t="s">
        <v>1020</v>
      </c>
      <c r="C7" s="35"/>
      <c r="D7" s="6" t="s">
        <v>467</v>
      </c>
      <c r="E7" s="6" t="s">
        <v>207</v>
      </c>
      <c r="F7" s="9">
        <v>5</v>
      </c>
    </row>
    <row r="9" spans="1:8" x14ac:dyDescent="0.2">
      <c r="A9" s="10" t="s">
        <v>209</v>
      </c>
      <c r="B9" s="11"/>
      <c r="C9" s="12">
        <f>SUM(C5:C7)</f>
        <v>0</v>
      </c>
      <c r="D9" s="11"/>
      <c r="E9" s="11"/>
      <c r="F9" s="12">
        <f>SUM(F5:F7)</f>
        <v>24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24</v>
      </c>
    </row>
  </sheetData>
  <mergeCells count="3">
    <mergeCell ref="A1:F1"/>
    <mergeCell ref="A2:F2"/>
    <mergeCell ref="A10:E10"/>
  </mergeCells>
  <hyperlinks>
    <hyperlink ref="H1" r:id="rId1" location="'Summary'!A1" xr:uid="{00000000-0004-0000-2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9"/>
  <sheetViews>
    <sheetView showGridLines="0" zoomScale="166" zoomScaleNormal="100" workbookViewId="0">
      <selection activeCell="C5" sqref="C5:C6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492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231</v>
      </c>
      <c r="B5" s="6" t="s">
        <v>203</v>
      </c>
      <c r="C5" s="9">
        <v>564</v>
      </c>
      <c r="D5" s="6" t="s">
        <v>493</v>
      </c>
      <c r="E5" s="6" t="s">
        <v>494</v>
      </c>
      <c r="F5" s="9">
        <v>1018</v>
      </c>
    </row>
    <row r="6" spans="1:8" x14ac:dyDescent="0.2">
      <c r="A6" s="6" t="s">
        <v>495</v>
      </c>
      <c r="B6" s="6" t="s">
        <v>203</v>
      </c>
      <c r="C6" s="9">
        <v>450</v>
      </c>
      <c r="D6" s="6"/>
      <c r="E6" s="6"/>
      <c r="F6" s="9"/>
    </row>
    <row r="8" spans="1:8" x14ac:dyDescent="0.2">
      <c r="A8" s="10" t="s">
        <v>209</v>
      </c>
      <c r="B8" s="11"/>
      <c r="C8" s="12">
        <f>SUM(C5:C6)</f>
        <v>1014</v>
      </c>
      <c r="D8" s="11"/>
      <c r="E8" s="11"/>
      <c r="F8" s="12">
        <f>SUM(F5:F6)</f>
        <v>1018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4</v>
      </c>
    </row>
  </sheetData>
  <mergeCells count="3">
    <mergeCell ref="A1:F1"/>
    <mergeCell ref="A2:F2"/>
    <mergeCell ref="A9:E9"/>
  </mergeCells>
  <hyperlinks>
    <hyperlink ref="H1" r:id="rId1" location="'Summary'!A1" xr:uid="{00000000-0004-0000-2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8"/>
  <sheetViews>
    <sheetView showGridLines="0" zoomScale="143" zoomScaleNormal="100" workbookViewId="0">
      <selection sqref="A1:F8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496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1020</v>
      </c>
      <c r="C5" s="35"/>
      <c r="D5" s="6" t="s">
        <v>497</v>
      </c>
      <c r="E5" s="6" t="s">
        <v>207</v>
      </c>
      <c r="F5" s="9">
        <v>1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1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1</v>
      </c>
    </row>
  </sheetData>
  <mergeCells count="3">
    <mergeCell ref="A1:F1"/>
    <mergeCell ref="A2:F2"/>
    <mergeCell ref="A8:E8"/>
  </mergeCells>
  <hyperlinks>
    <hyperlink ref="H1" r:id="rId1" location="'Summary'!A1" xr:uid="{00000000-0004-0000-2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0"/>
  <sheetViews>
    <sheetView showGridLines="0" zoomScale="150" zoomScaleNormal="100" workbookViewId="0">
      <selection sqref="A1:F10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498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8</v>
      </c>
      <c r="D5" s="6" t="s">
        <v>499</v>
      </c>
      <c r="E5" s="6" t="s">
        <v>472</v>
      </c>
      <c r="F5" s="9">
        <v>8</v>
      </c>
    </row>
    <row r="6" spans="1:8" x14ac:dyDescent="0.2">
      <c r="A6" s="6" t="s">
        <v>500</v>
      </c>
      <c r="B6" s="6" t="s">
        <v>270</v>
      </c>
      <c r="C6" s="9">
        <v>1</v>
      </c>
      <c r="D6" s="6" t="s">
        <v>485</v>
      </c>
      <c r="E6" s="6" t="s">
        <v>207</v>
      </c>
      <c r="F6" s="9">
        <v>1</v>
      </c>
    </row>
    <row r="7" spans="1:8" x14ac:dyDescent="0.2">
      <c r="A7" s="34"/>
      <c r="B7" s="34" t="s">
        <v>1019</v>
      </c>
      <c r="C7" s="35"/>
      <c r="D7" s="6" t="s">
        <v>206</v>
      </c>
      <c r="E7" s="6" t="s">
        <v>207</v>
      </c>
      <c r="F7" s="9">
        <v>4</v>
      </c>
    </row>
    <row r="8" spans="1:8" x14ac:dyDescent="0.2">
      <c r="D8" s="6"/>
      <c r="E8" s="6"/>
      <c r="F8" s="9"/>
    </row>
    <row r="9" spans="1:8" x14ac:dyDescent="0.2">
      <c r="A9" s="10" t="s">
        <v>209</v>
      </c>
      <c r="B9" s="11"/>
      <c r="C9" s="12">
        <f>SUM(C5:C7)</f>
        <v>9</v>
      </c>
      <c r="D9" s="11"/>
      <c r="E9" s="11"/>
      <c r="F9" s="12">
        <f>SUM(F5:F7)</f>
        <v>13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4</v>
      </c>
    </row>
  </sheetData>
  <mergeCells count="3">
    <mergeCell ref="A1:F1"/>
    <mergeCell ref="A2:F2"/>
    <mergeCell ref="A10:E10"/>
  </mergeCells>
  <hyperlinks>
    <hyperlink ref="H1" r:id="rId1" location="'Summary'!A1" xr:uid="{00000000-0004-0000-2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9"/>
  <sheetViews>
    <sheetView showGridLines="0" zoomScale="150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501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502</v>
      </c>
      <c r="B5" s="6" t="s">
        <v>503</v>
      </c>
      <c r="C5" s="9">
        <v>1</v>
      </c>
      <c r="D5" s="6" t="s">
        <v>504</v>
      </c>
      <c r="E5" s="6" t="s">
        <v>201</v>
      </c>
      <c r="F5" s="9">
        <v>1</v>
      </c>
    </row>
    <row r="6" spans="1:8" x14ac:dyDescent="0.2">
      <c r="A6" s="34"/>
      <c r="B6" s="34" t="s">
        <v>1022</v>
      </c>
      <c r="C6" s="35"/>
      <c r="D6" s="6" t="s">
        <v>200</v>
      </c>
      <c r="E6" s="6" t="s">
        <v>201</v>
      </c>
      <c r="F6" s="9">
        <v>2</v>
      </c>
    </row>
    <row r="7" spans="1:8" x14ac:dyDescent="0.2">
      <c r="D7" s="6"/>
      <c r="E7" s="6"/>
      <c r="F7" s="9"/>
    </row>
    <row r="8" spans="1:8" x14ac:dyDescent="0.2">
      <c r="A8" s="10" t="s">
        <v>209</v>
      </c>
      <c r="B8" s="11"/>
      <c r="C8" s="12">
        <f>SUM(C5:C6)</f>
        <v>1</v>
      </c>
      <c r="D8" s="11"/>
      <c r="E8" s="11"/>
      <c r="F8" s="12">
        <f>SUM(F5:F6)</f>
        <v>3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2</v>
      </c>
    </row>
  </sheetData>
  <mergeCells count="3">
    <mergeCell ref="A1:F1"/>
    <mergeCell ref="A2:F2"/>
    <mergeCell ref="A9:E9"/>
  </mergeCells>
  <hyperlinks>
    <hyperlink ref="H1" r:id="rId1" location="'Summary'!A1" xr:uid="{00000000-0004-0000-2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7"/>
  <sheetViews>
    <sheetView showGridLines="0" zoomScale="169" zoomScaleNormal="100" workbookViewId="0">
      <selection sqref="A1:F17"/>
    </sheetView>
  </sheetViews>
  <sheetFormatPr baseColWidth="10" defaultColWidth="8.6640625" defaultRowHeight="15" x14ac:dyDescent="0.2"/>
  <cols>
    <col min="1" max="1" width="18" customWidth="1"/>
    <col min="2" max="2" width="41.33203125" bestFit="1" customWidth="1"/>
    <col min="3" max="3" width="14" customWidth="1"/>
    <col min="4" max="4" width="18" customWidth="1"/>
    <col min="5" max="5" width="31.1640625" bestFit="1" customWidth="1"/>
    <col min="6" max="6" width="14" customWidth="1"/>
  </cols>
  <sheetData>
    <row r="1" spans="1:8" ht="17" x14ac:dyDescent="0.2">
      <c r="A1" s="4" t="s">
        <v>505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482</v>
      </c>
      <c r="B5" s="6" t="s">
        <v>275</v>
      </c>
      <c r="C5" s="9">
        <v>2200</v>
      </c>
      <c r="D5" s="6" t="s">
        <v>506</v>
      </c>
      <c r="E5" s="6" t="s">
        <v>507</v>
      </c>
      <c r="F5" s="9">
        <v>2200</v>
      </c>
    </row>
    <row r="6" spans="1:8" x14ac:dyDescent="0.2">
      <c r="A6" s="6" t="s">
        <v>424</v>
      </c>
      <c r="B6" s="6" t="s">
        <v>221</v>
      </c>
      <c r="C6" s="9">
        <v>700</v>
      </c>
      <c r="D6" s="6" t="s">
        <v>425</v>
      </c>
      <c r="E6" s="6" t="s">
        <v>426</v>
      </c>
      <c r="F6" s="9">
        <v>677</v>
      </c>
    </row>
    <row r="7" spans="1:8" x14ac:dyDescent="0.2">
      <c r="A7" s="6" t="s">
        <v>508</v>
      </c>
      <c r="B7" s="6" t="s">
        <v>509</v>
      </c>
      <c r="C7" s="9">
        <v>580</v>
      </c>
      <c r="D7" s="6" t="s">
        <v>510</v>
      </c>
      <c r="E7" s="6" t="s">
        <v>511</v>
      </c>
      <c r="F7" s="9">
        <v>580</v>
      </c>
    </row>
    <row r="8" spans="1:8" x14ac:dyDescent="0.2">
      <c r="A8" s="6" t="s">
        <v>512</v>
      </c>
      <c r="B8" s="6" t="s">
        <v>226</v>
      </c>
      <c r="C8" s="9">
        <v>445</v>
      </c>
      <c r="D8" s="6" t="s">
        <v>513</v>
      </c>
      <c r="E8" s="6" t="s">
        <v>511</v>
      </c>
      <c r="F8" s="9">
        <v>442</v>
      </c>
    </row>
    <row r="9" spans="1:8" x14ac:dyDescent="0.2">
      <c r="A9" s="34" t="s">
        <v>514</v>
      </c>
      <c r="B9" s="34" t="s">
        <v>226</v>
      </c>
      <c r="C9" s="35">
        <v>445</v>
      </c>
      <c r="D9" s="34" t="s">
        <v>516</v>
      </c>
      <c r="E9" s="34" t="s">
        <v>426</v>
      </c>
      <c r="F9" s="35">
        <v>50</v>
      </c>
    </row>
    <row r="10" spans="1:8" x14ac:dyDescent="0.2">
      <c r="A10" s="34"/>
      <c r="B10" s="34"/>
      <c r="C10" s="35"/>
      <c r="D10" s="34" t="s">
        <v>518</v>
      </c>
      <c r="E10" s="34" t="s">
        <v>285</v>
      </c>
      <c r="F10" s="35">
        <v>12</v>
      </c>
    </row>
    <row r="11" spans="1:8" x14ac:dyDescent="0.2">
      <c r="A11" s="6" t="s">
        <v>220</v>
      </c>
      <c r="B11" s="6" t="s">
        <v>221</v>
      </c>
      <c r="C11" s="9">
        <v>300</v>
      </c>
      <c r="D11" s="6" t="s">
        <v>515</v>
      </c>
      <c r="E11" s="6" t="s">
        <v>511</v>
      </c>
      <c r="F11" s="9">
        <v>300</v>
      </c>
    </row>
    <row r="12" spans="1:8" x14ac:dyDescent="0.2">
      <c r="A12" s="6" t="s">
        <v>327</v>
      </c>
      <c r="B12" s="6" t="s">
        <v>203</v>
      </c>
      <c r="C12" s="9">
        <v>250</v>
      </c>
      <c r="D12" s="6" t="s">
        <v>326</v>
      </c>
      <c r="E12" s="6" t="s">
        <v>285</v>
      </c>
      <c r="F12" s="9">
        <v>349</v>
      </c>
    </row>
    <row r="13" spans="1:8" x14ac:dyDescent="0.2">
      <c r="A13" s="6" t="s">
        <v>325</v>
      </c>
      <c r="B13" s="6" t="s">
        <v>203</v>
      </c>
      <c r="C13" s="9">
        <v>100</v>
      </c>
      <c r="D13" s="6"/>
      <c r="E13" s="6"/>
      <c r="F13" s="9"/>
    </row>
    <row r="14" spans="1:8" x14ac:dyDescent="0.2">
      <c r="A14" s="6" t="s">
        <v>315</v>
      </c>
      <c r="B14" s="6" t="s">
        <v>316</v>
      </c>
      <c r="C14" s="9">
        <v>24</v>
      </c>
      <c r="D14" s="6" t="s">
        <v>517</v>
      </c>
      <c r="E14" s="6" t="s">
        <v>426</v>
      </c>
      <c r="F14" s="9">
        <v>24</v>
      </c>
    </row>
    <row r="16" spans="1:8" x14ac:dyDescent="0.2">
      <c r="A16" s="10" t="s">
        <v>209</v>
      </c>
      <c r="B16" s="11"/>
      <c r="C16" s="12">
        <f>SUM(C5:C14)</f>
        <v>5044</v>
      </c>
      <c r="D16" s="11"/>
      <c r="E16" s="11"/>
      <c r="F16" s="12">
        <f>SUM(F5:F14)</f>
        <v>4634</v>
      </c>
    </row>
    <row r="17" spans="1:6" x14ac:dyDescent="0.2">
      <c r="A17" s="2" t="s">
        <v>210</v>
      </c>
      <c r="B17" s="2"/>
      <c r="C17" s="2"/>
      <c r="D17" s="2"/>
      <c r="E17" s="2"/>
      <c r="F17" s="13">
        <f>F16-C16</f>
        <v>-410</v>
      </c>
    </row>
  </sheetData>
  <mergeCells count="3">
    <mergeCell ref="A1:F1"/>
    <mergeCell ref="A2:F2"/>
    <mergeCell ref="A17:E17"/>
  </mergeCells>
  <hyperlinks>
    <hyperlink ref="H1" r:id="rId1" location="'Summary'!A1" xr:uid="{00000000-0004-0000-2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9"/>
  <sheetViews>
    <sheetView showGridLines="0" zoomScale="158" zoomScaleNormal="100" workbookViewId="0">
      <selection sqref="A1:F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519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/>
      <c r="E5" s="6"/>
      <c r="F5" s="9"/>
    </row>
    <row r="6" spans="1:8" x14ac:dyDescent="0.2">
      <c r="A6" s="1" t="s">
        <v>463</v>
      </c>
      <c r="B6" s="1"/>
      <c r="C6" s="1"/>
      <c r="D6" s="1"/>
      <c r="E6" s="1"/>
      <c r="F6" s="1"/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0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0</v>
      </c>
    </row>
  </sheetData>
  <mergeCells count="4">
    <mergeCell ref="A1:F1"/>
    <mergeCell ref="A2:F2"/>
    <mergeCell ref="A6:F6"/>
    <mergeCell ref="A9:E9"/>
  </mergeCells>
  <hyperlinks>
    <hyperlink ref="H1" r:id="rId1" location="'Summary'!A1" xr:uid="{00000000-0004-0000-2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8"/>
  <sheetViews>
    <sheetView showGridLines="0" zoomScale="158" zoomScaleNormal="100" workbookViewId="0">
      <selection sqref="A1:F8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520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34" t="s">
        <v>1019</v>
      </c>
      <c r="C5" s="35"/>
      <c r="D5" s="6" t="s">
        <v>206</v>
      </c>
      <c r="E5" s="6" t="s">
        <v>207</v>
      </c>
      <c r="F5" s="9">
        <v>7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7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7</v>
      </c>
    </row>
  </sheetData>
  <mergeCells count="3">
    <mergeCell ref="A1:F1"/>
    <mergeCell ref="A2:F2"/>
    <mergeCell ref="A8:E8"/>
  </mergeCells>
  <hyperlinks>
    <hyperlink ref="H1" r:id="rId1" location="'Summary'!A1" xr:uid="{00000000-0004-0000-2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8"/>
  <sheetViews>
    <sheetView showGridLines="0" zoomScale="150" zoomScaleNormal="100" workbookViewId="0">
      <selection sqref="A1:F8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521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34"/>
      <c r="B5" s="46" t="s">
        <v>1023</v>
      </c>
      <c r="C5" s="35"/>
      <c r="D5" s="6" t="s">
        <v>522</v>
      </c>
      <c r="E5" s="6" t="s">
        <v>207</v>
      </c>
      <c r="F5" s="9">
        <v>1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1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1</v>
      </c>
    </row>
  </sheetData>
  <mergeCells count="3">
    <mergeCell ref="A1:F1"/>
    <mergeCell ref="A2:F2"/>
    <mergeCell ref="A8:E8"/>
  </mergeCells>
  <hyperlinks>
    <hyperlink ref="H1" r:id="rId1" location="'Summary'!A1" xr:uid="{00000000-0004-0000-2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9"/>
  <sheetViews>
    <sheetView showGridLines="0" zoomScale="187" zoomScaleNormal="100" workbookViewId="0">
      <selection sqref="A1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523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469</v>
      </c>
      <c r="B5" s="6" t="s">
        <v>452</v>
      </c>
      <c r="C5" s="9">
        <v>3</v>
      </c>
      <c r="D5" s="6" t="s">
        <v>470</v>
      </c>
      <c r="E5" s="6" t="s">
        <v>207</v>
      </c>
      <c r="F5" s="9">
        <v>3</v>
      </c>
    </row>
    <row r="6" spans="1:8" x14ac:dyDescent="0.2">
      <c r="A6" s="34"/>
      <c r="B6" s="46" t="s">
        <v>1016</v>
      </c>
      <c r="C6" s="35"/>
      <c r="D6" s="6" t="s">
        <v>445</v>
      </c>
      <c r="E6" s="6" t="s">
        <v>446</v>
      </c>
      <c r="F6" s="9">
        <v>1</v>
      </c>
    </row>
    <row r="8" spans="1:8" x14ac:dyDescent="0.2">
      <c r="A8" s="10" t="s">
        <v>209</v>
      </c>
      <c r="B8" s="11"/>
      <c r="C8" s="12">
        <f>SUM(C5:C6)</f>
        <v>3</v>
      </c>
      <c r="D8" s="11"/>
      <c r="E8" s="11"/>
      <c r="F8" s="12">
        <f>SUM(F5:F6)</f>
        <v>4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</v>
      </c>
    </row>
  </sheetData>
  <mergeCells count="3">
    <mergeCell ref="A1:F1"/>
    <mergeCell ref="A2:F2"/>
    <mergeCell ref="A9:E9"/>
  </mergeCells>
  <hyperlinks>
    <hyperlink ref="H1" r:id="rId1" location="'Summary'!A1" xr:uid="{00000000-0004-0000-3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3"/>
  <sheetViews>
    <sheetView showGridLines="0" zoomScale="157" zoomScaleNormal="100" workbookViewId="0">
      <selection sqref="A1:F13"/>
    </sheetView>
  </sheetViews>
  <sheetFormatPr baseColWidth="10" defaultColWidth="8.6640625" defaultRowHeight="15" x14ac:dyDescent="0.2"/>
  <cols>
    <col min="1" max="1" width="18" customWidth="1"/>
    <col min="2" max="2" width="46.83203125" bestFit="1" customWidth="1"/>
    <col min="3" max="3" width="14" customWidth="1"/>
    <col min="4" max="4" width="18" customWidth="1"/>
    <col min="5" max="5" width="32.83203125" bestFit="1" customWidth="1"/>
    <col min="6" max="6" width="14" customWidth="1"/>
  </cols>
  <sheetData>
    <row r="1" spans="1:8" ht="17" x14ac:dyDescent="0.2">
      <c r="A1" s="4" t="s">
        <v>524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240</v>
      </c>
      <c r="B5" s="6" t="s">
        <v>241</v>
      </c>
      <c r="C5" s="9">
        <v>8</v>
      </c>
      <c r="D5" s="6" t="s">
        <v>242</v>
      </c>
      <c r="E5" s="6" t="s">
        <v>236</v>
      </c>
      <c r="F5" s="9">
        <v>8</v>
      </c>
    </row>
    <row r="6" spans="1:8" x14ac:dyDescent="0.2">
      <c r="A6" s="6" t="s">
        <v>525</v>
      </c>
      <c r="B6" s="6" t="s">
        <v>244</v>
      </c>
      <c r="C6" s="9">
        <v>7</v>
      </c>
      <c r="D6" s="45" t="s">
        <v>526</v>
      </c>
      <c r="E6" s="6" t="s">
        <v>236</v>
      </c>
      <c r="F6" s="9">
        <v>7</v>
      </c>
    </row>
    <row r="7" spans="1:8" x14ac:dyDescent="0.2">
      <c r="A7" s="6" t="s">
        <v>248</v>
      </c>
      <c r="B7" s="6" t="s">
        <v>234</v>
      </c>
      <c r="C7" s="9">
        <v>6</v>
      </c>
      <c r="D7" s="6" t="s">
        <v>362</v>
      </c>
      <c r="E7" s="6" t="s">
        <v>236</v>
      </c>
      <c r="F7" s="9">
        <v>6</v>
      </c>
    </row>
    <row r="8" spans="1:8" x14ac:dyDescent="0.2">
      <c r="A8" s="6" t="s">
        <v>253</v>
      </c>
      <c r="B8" s="6" t="s">
        <v>254</v>
      </c>
      <c r="C8" s="9">
        <v>4</v>
      </c>
      <c r="D8" s="6" t="s">
        <v>247</v>
      </c>
      <c r="E8" s="6" t="s">
        <v>236</v>
      </c>
      <c r="F8" s="9">
        <v>4</v>
      </c>
    </row>
    <row r="9" spans="1:8" x14ac:dyDescent="0.2">
      <c r="A9" s="34"/>
      <c r="B9" s="46" t="s">
        <v>1024</v>
      </c>
      <c r="C9" s="35"/>
      <c r="D9" s="6" t="s">
        <v>249</v>
      </c>
      <c r="E9" s="6" t="s">
        <v>236</v>
      </c>
      <c r="F9" s="9">
        <v>9</v>
      </c>
    </row>
    <row r="10" spans="1:8" x14ac:dyDescent="0.2">
      <c r="A10" s="34"/>
      <c r="B10" s="46" t="s">
        <v>1025</v>
      </c>
      <c r="C10" s="35"/>
      <c r="D10" s="6" t="s">
        <v>259</v>
      </c>
      <c r="E10" s="6" t="s">
        <v>236</v>
      </c>
      <c r="F10" s="9">
        <v>1.48</v>
      </c>
    </row>
    <row r="12" spans="1:8" x14ac:dyDescent="0.2">
      <c r="A12" s="10" t="s">
        <v>209</v>
      </c>
      <c r="B12" s="11"/>
      <c r="C12" s="12">
        <f>SUM(C5:C10)</f>
        <v>25</v>
      </c>
      <c r="D12" s="11"/>
      <c r="E12" s="11"/>
      <c r="F12" s="12">
        <f>SUM(F5:F10)</f>
        <v>35.479999999999997</v>
      </c>
    </row>
    <row r="13" spans="1:8" x14ac:dyDescent="0.2">
      <c r="A13" s="2" t="s">
        <v>210</v>
      </c>
      <c r="B13" s="2"/>
      <c r="C13" s="2"/>
      <c r="D13" s="2"/>
      <c r="E13" s="2"/>
      <c r="F13" s="12">
        <f>F12-C12</f>
        <v>10.479999999999997</v>
      </c>
    </row>
  </sheetData>
  <mergeCells count="3">
    <mergeCell ref="A1:F1"/>
    <mergeCell ref="A2:F2"/>
    <mergeCell ref="A13:E13"/>
  </mergeCells>
  <hyperlinks>
    <hyperlink ref="H1" r:id="rId1" location="'Summary'!A1" xr:uid="{00000000-0004-0000-3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6"/>
  <sheetViews>
    <sheetView showGridLines="0" zoomScale="200" zoomScaleNormal="100" workbookViewId="0">
      <selection activeCell="A12" sqref="A12:C13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527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528</v>
      </c>
      <c r="B5" s="6" t="s">
        <v>292</v>
      </c>
      <c r="C5" s="9">
        <v>418</v>
      </c>
      <c r="D5" s="6" t="s">
        <v>529</v>
      </c>
      <c r="E5" s="6" t="s">
        <v>290</v>
      </c>
      <c r="F5" s="9">
        <v>418</v>
      </c>
    </row>
    <row r="6" spans="1:8" x14ac:dyDescent="0.2">
      <c r="A6" s="6" t="s">
        <v>530</v>
      </c>
      <c r="B6" s="6" t="s">
        <v>292</v>
      </c>
      <c r="C6" s="9">
        <v>280</v>
      </c>
      <c r="D6" s="6" t="s">
        <v>531</v>
      </c>
      <c r="E6" s="6" t="s">
        <v>290</v>
      </c>
      <c r="F6" s="9">
        <v>280</v>
      </c>
    </row>
    <row r="7" spans="1:8" x14ac:dyDescent="0.2">
      <c r="A7" s="6" t="s">
        <v>532</v>
      </c>
      <c r="B7" s="6" t="s">
        <v>292</v>
      </c>
      <c r="C7" s="9">
        <v>280</v>
      </c>
      <c r="D7" s="6" t="s">
        <v>533</v>
      </c>
      <c r="E7" s="6" t="s">
        <v>290</v>
      </c>
      <c r="F7" s="9">
        <v>280</v>
      </c>
    </row>
    <row r="8" spans="1:8" x14ac:dyDescent="0.2">
      <c r="A8" s="6" t="s">
        <v>534</v>
      </c>
      <c r="B8" s="6" t="s">
        <v>292</v>
      </c>
      <c r="C8" s="9">
        <v>240</v>
      </c>
      <c r="D8" s="6" t="s">
        <v>535</v>
      </c>
      <c r="E8" s="6" t="s">
        <v>290</v>
      </c>
      <c r="F8" s="9">
        <v>240</v>
      </c>
    </row>
    <row r="9" spans="1:8" x14ac:dyDescent="0.2">
      <c r="A9" s="6" t="s">
        <v>536</v>
      </c>
      <c r="B9" s="6" t="s">
        <v>292</v>
      </c>
      <c r="C9" s="9">
        <v>210</v>
      </c>
      <c r="D9" s="6" t="s">
        <v>537</v>
      </c>
      <c r="E9" s="6" t="s">
        <v>290</v>
      </c>
      <c r="F9" s="9">
        <v>210</v>
      </c>
    </row>
    <row r="10" spans="1:8" x14ac:dyDescent="0.2">
      <c r="A10" s="6" t="s">
        <v>538</v>
      </c>
      <c r="B10" s="6" t="s">
        <v>292</v>
      </c>
      <c r="C10" s="9">
        <v>210</v>
      </c>
      <c r="D10" s="6" t="s">
        <v>539</v>
      </c>
      <c r="E10" s="6" t="s">
        <v>290</v>
      </c>
      <c r="F10" s="9">
        <v>210</v>
      </c>
    </row>
    <row r="11" spans="1:8" x14ac:dyDescent="0.2">
      <c r="A11" s="6" t="s">
        <v>540</v>
      </c>
      <c r="B11" s="6" t="s">
        <v>292</v>
      </c>
      <c r="C11" s="9">
        <v>120</v>
      </c>
      <c r="D11" s="6" t="s">
        <v>541</v>
      </c>
      <c r="E11" s="6" t="s">
        <v>290</v>
      </c>
      <c r="F11" s="9">
        <v>120</v>
      </c>
    </row>
    <row r="12" spans="1:8" x14ac:dyDescent="0.2">
      <c r="A12" s="34"/>
      <c r="B12" s="34" t="s">
        <v>1026</v>
      </c>
      <c r="C12" s="35"/>
      <c r="D12" s="6" t="s">
        <v>542</v>
      </c>
      <c r="E12" s="6" t="s">
        <v>338</v>
      </c>
      <c r="F12" s="9">
        <v>60</v>
      </c>
    </row>
    <row r="13" spans="1:8" x14ac:dyDescent="0.2">
      <c r="A13" s="34"/>
      <c r="B13" s="34" t="s">
        <v>1027</v>
      </c>
      <c r="C13" s="35"/>
      <c r="D13" s="6" t="s">
        <v>543</v>
      </c>
      <c r="E13" s="6" t="s">
        <v>544</v>
      </c>
      <c r="F13" s="9">
        <v>45</v>
      </c>
    </row>
    <row r="15" spans="1:8" x14ac:dyDescent="0.2">
      <c r="A15" s="10" t="s">
        <v>209</v>
      </c>
      <c r="B15" s="11"/>
      <c r="C15" s="12">
        <f>SUM(C5:C13)</f>
        <v>1758</v>
      </c>
      <c r="D15" s="11"/>
      <c r="E15" s="11"/>
      <c r="F15" s="12">
        <f>SUM(F5:F13)</f>
        <v>1863</v>
      </c>
    </row>
    <row r="16" spans="1:8" x14ac:dyDescent="0.2">
      <c r="A16" s="2" t="s">
        <v>210</v>
      </c>
      <c r="B16" s="2"/>
      <c r="C16" s="2"/>
      <c r="D16" s="2"/>
      <c r="E16" s="2"/>
      <c r="F16" s="12">
        <f>F15-C15</f>
        <v>105</v>
      </c>
    </row>
  </sheetData>
  <mergeCells count="3">
    <mergeCell ref="A1:F1"/>
    <mergeCell ref="A2:F2"/>
    <mergeCell ref="A16:E16"/>
  </mergeCells>
  <hyperlinks>
    <hyperlink ref="H1" r:id="rId1" location="'Summary'!A1" xr:uid="{00000000-0004-0000-3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26"/>
  <sheetViews>
    <sheetView showGridLines="0" zoomScale="167" zoomScaleNormal="100" workbookViewId="0">
      <selection sqref="A1:F26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545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546</v>
      </c>
      <c r="B5" s="6" t="s">
        <v>226</v>
      </c>
      <c r="C5" s="9">
        <v>94</v>
      </c>
      <c r="D5" s="6" t="s">
        <v>547</v>
      </c>
      <c r="E5" s="6" t="s">
        <v>426</v>
      </c>
      <c r="F5" s="9">
        <v>94</v>
      </c>
    </row>
    <row r="6" spans="1:8" x14ac:dyDescent="0.2">
      <c r="A6" s="6" t="s">
        <v>548</v>
      </c>
      <c r="B6" s="6" t="s">
        <v>226</v>
      </c>
      <c r="C6" s="9">
        <v>60</v>
      </c>
      <c r="D6" s="6" t="s">
        <v>549</v>
      </c>
      <c r="E6" s="6" t="s">
        <v>426</v>
      </c>
      <c r="F6" s="9">
        <v>60</v>
      </c>
    </row>
    <row r="7" spans="1:8" s="52" customFormat="1" x14ac:dyDescent="0.2">
      <c r="A7" s="50" t="s">
        <v>282</v>
      </c>
      <c r="B7" s="50" t="s">
        <v>283</v>
      </c>
      <c r="C7" s="51">
        <v>25</v>
      </c>
      <c r="D7" s="50" t="s">
        <v>550</v>
      </c>
      <c r="E7" s="50" t="s">
        <v>285</v>
      </c>
      <c r="F7" s="51">
        <v>30</v>
      </c>
    </row>
    <row r="8" spans="1:8" s="49" customFormat="1" x14ac:dyDescent="0.2">
      <c r="A8" s="6" t="s">
        <v>560</v>
      </c>
      <c r="B8" s="6" t="s">
        <v>561</v>
      </c>
      <c r="C8" s="9">
        <v>5</v>
      </c>
      <c r="D8" s="47"/>
      <c r="E8" s="47"/>
      <c r="F8" s="48"/>
    </row>
    <row r="9" spans="1:8" x14ac:dyDescent="0.2">
      <c r="A9" s="6" t="s">
        <v>220</v>
      </c>
      <c r="B9" s="6" t="s">
        <v>221</v>
      </c>
      <c r="C9" s="9">
        <v>25</v>
      </c>
      <c r="D9" s="6" t="s">
        <v>551</v>
      </c>
      <c r="E9" s="6" t="s">
        <v>552</v>
      </c>
      <c r="F9" s="9">
        <v>25</v>
      </c>
    </row>
    <row r="10" spans="1:8" x14ac:dyDescent="0.2">
      <c r="A10" s="6" t="s">
        <v>553</v>
      </c>
      <c r="B10" s="6" t="s">
        <v>275</v>
      </c>
      <c r="C10" s="9">
        <v>19</v>
      </c>
      <c r="D10" s="6" t="s">
        <v>554</v>
      </c>
      <c r="E10" s="6" t="s">
        <v>555</v>
      </c>
      <c r="F10" s="9">
        <v>19</v>
      </c>
    </row>
    <row r="11" spans="1:8" x14ac:dyDescent="0.2">
      <c r="A11" s="6" t="s">
        <v>556</v>
      </c>
      <c r="B11" s="6" t="s">
        <v>283</v>
      </c>
      <c r="C11" s="9">
        <v>14</v>
      </c>
      <c r="D11" s="6" t="s">
        <v>557</v>
      </c>
      <c r="E11" s="6" t="s">
        <v>285</v>
      </c>
      <c r="F11" s="9">
        <v>14</v>
      </c>
    </row>
    <row r="12" spans="1:8" x14ac:dyDescent="0.2">
      <c r="A12" s="6" t="s">
        <v>294</v>
      </c>
      <c r="B12" s="6" t="s">
        <v>270</v>
      </c>
      <c r="C12" s="9">
        <v>13</v>
      </c>
      <c r="D12" s="6" t="s">
        <v>436</v>
      </c>
      <c r="E12" s="6" t="s">
        <v>426</v>
      </c>
      <c r="F12" s="9">
        <v>13</v>
      </c>
    </row>
    <row r="13" spans="1:8" x14ac:dyDescent="0.2">
      <c r="A13" s="34" t="s">
        <v>437</v>
      </c>
      <c r="B13" s="34" t="s">
        <v>270</v>
      </c>
      <c r="C13" s="35">
        <v>13</v>
      </c>
      <c r="D13" s="34" t="s">
        <v>562</v>
      </c>
      <c r="E13" s="34" t="s">
        <v>563</v>
      </c>
      <c r="F13" s="35">
        <v>3</v>
      </c>
      <c r="G13" s="53"/>
    </row>
    <row r="14" spans="1:8" x14ac:dyDescent="0.2">
      <c r="A14" s="6"/>
      <c r="B14" s="6"/>
      <c r="C14" s="9"/>
      <c r="D14" s="6"/>
      <c r="E14" s="6"/>
      <c r="F14" s="9"/>
      <c r="G14" s="53"/>
    </row>
    <row r="15" spans="1:8" x14ac:dyDescent="0.2">
      <c r="A15" s="34" t="s">
        <v>512</v>
      </c>
      <c r="B15" s="34" t="s">
        <v>226</v>
      </c>
      <c r="C15" s="35">
        <v>3</v>
      </c>
      <c r="D15" s="34" t="s">
        <v>565</v>
      </c>
      <c r="E15" s="34" t="s">
        <v>566</v>
      </c>
      <c r="F15" s="35">
        <v>2</v>
      </c>
      <c r="G15" s="53"/>
    </row>
    <row r="16" spans="1:8" x14ac:dyDescent="0.2">
      <c r="A16" s="34" t="s">
        <v>514</v>
      </c>
      <c r="B16" s="34" t="s">
        <v>226</v>
      </c>
      <c r="C16" s="35">
        <v>3</v>
      </c>
      <c r="D16" s="34"/>
      <c r="E16" s="34"/>
      <c r="F16" s="35"/>
      <c r="G16" s="53"/>
    </row>
    <row r="17" spans="1:7" x14ac:dyDescent="0.2">
      <c r="A17" s="6" t="s">
        <v>567</v>
      </c>
      <c r="B17" s="6" t="s">
        <v>340</v>
      </c>
      <c r="C17" s="9">
        <v>2</v>
      </c>
      <c r="D17" s="6" t="s">
        <v>564</v>
      </c>
      <c r="E17" s="6" t="s">
        <v>563</v>
      </c>
      <c r="F17" s="9">
        <v>2</v>
      </c>
      <c r="G17" s="53"/>
    </row>
    <row r="18" spans="1:7" x14ac:dyDescent="0.2">
      <c r="A18" s="34" t="s">
        <v>569</v>
      </c>
      <c r="B18" s="34" t="s">
        <v>344</v>
      </c>
      <c r="C18" s="35">
        <v>2</v>
      </c>
      <c r="D18" s="34" t="s">
        <v>558</v>
      </c>
      <c r="E18" s="34" t="s">
        <v>559</v>
      </c>
      <c r="F18" s="35">
        <v>6</v>
      </c>
      <c r="G18" s="53"/>
    </row>
    <row r="19" spans="1:7" x14ac:dyDescent="0.2">
      <c r="A19" s="34" t="s">
        <v>571</v>
      </c>
      <c r="B19" s="34" t="s">
        <v>226</v>
      </c>
      <c r="C19" s="35">
        <v>2</v>
      </c>
      <c r="D19" s="6"/>
      <c r="E19" s="6"/>
      <c r="F19" s="9"/>
      <c r="G19" s="53"/>
    </row>
    <row r="20" spans="1:7" x14ac:dyDescent="0.2">
      <c r="A20" s="6" t="s">
        <v>312</v>
      </c>
      <c r="B20" s="6" t="s">
        <v>313</v>
      </c>
      <c r="C20" s="9">
        <v>2</v>
      </c>
      <c r="D20" s="6" t="s">
        <v>568</v>
      </c>
      <c r="E20" s="6" t="s">
        <v>285</v>
      </c>
      <c r="F20" s="9">
        <v>2</v>
      </c>
    </row>
    <row r="21" spans="1:7" x14ac:dyDescent="0.2">
      <c r="A21" s="6" t="s">
        <v>574</v>
      </c>
      <c r="B21" s="6" t="s">
        <v>275</v>
      </c>
      <c r="C21" s="9">
        <v>2</v>
      </c>
      <c r="D21" s="6" t="s">
        <v>570</v>
      </c>
      <c r="E21" s="6" t="s">
        <v>285</v>
      </c>
      <c r="F21" s="9">
        <v>2</v>
      </c>
    </row>
    <row r="22" spans="1:7" x14ac:dyDescent="0.2">
      <c r="A22" s="6" t="s">
        <v>428</v>
      </c>
      <c r="B22" s="6" t="s">
        <v>429</v>
      </c>
      <c r="C22" s="9">
        <v>1</v>
      </c>
      <c r="D22" s="6" t="s">
        <v>572</v>
      </c>
      <c r="E22" s="6" t="s">
        <v>552</v>
      </c>
      <c r="F22" s="9">
        <v>1</v>
      </c>
    </row>
    <row r="23" spans="1:7" x14ac:dyDescent="0.2">
      <c r="A23" s="6" t="s">
        <v>575</v>
      </c>
      <c r="B23" s="6" t="s">
        <v>275</v>
      </c>
      <c r="C23" s="9">
        <v>1</v>
      </c>
      <c r="D23" s="6" t="s">
        <v>573</v>
      </c>
      <c r="E23" s="6" t="s">
        <v>285</v>
      </c>
      <c r="F23" s="9">
        <v>1</v>
      </c>
    </row>
    <row r="25" spans="1:7" x14ac:dyDescent="0.2">
      <c r="A25" s="10" t="s">
        <v>209</v>
      </c>
      <c r="B25" s="11"/>
      <c r="C25" s="12">
        <f>SUM(C5:C23)</f>
        <v>286</v>
      </c>
      <c r="D25" s="11"/>
      <c r="E25" s="11"/>
      <c r="F25" s="12">
        <f>SUM(F5:F23)</f>
        <v>274</v>
      </c>
    </row>
    <row r="26" spans="1:7" x14ac:dyDescent="0.2">
      <c r="A26" s="2" t="s">
        <v>210</v>
      </c>
      <c r="B26" s="2"/>
      <c r="C26" s="2"/>
      <c r="D26" s="2"/>
      <c r="E26" s="2"/>
      <c r="F26" s="13">
        <f>F25-C25</f>
        <v>-12</v>
      </c>
    </row>
  </sheetData>
  <mergeCells count="3">
    <mergeCell ref="A1:F1"/>
    <mergeCell ref="A2:F2"/>
    <mergeCell ref="A26:E26"/>
  </mergeCells>
  <hyperlinks>
    <hyperlink ref="H1" r:id="rId1" location="'Summary'!A1" xr:uid="{00000000-0004-0000-3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1"/>
  <sheetViews>
    <sheetView showGridLines="0" zoomScale="194" zoomScaleNormal="100" workbookViewId="0">
      <selection activeCell="A7" sqref="A7:F9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576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577</v>
      </c>
      <c r="B5" s="6" t="s">
        <v>578</v>
      </c>
      <c r="C5" s="9">
        <v>2</v>
      </c>
      <c r="D5" s="6" t="s">
        <v>579</v>
      </c>
      <c r="E5" s="6" t="s">
        <v>580</v>
      </c>
      <c r="F5" s="9">
        <v>2</v>
      </c>
    </row>
    <row r="6" spans="1:8" x14ac:dyDescent="0.2">
      <c r="A6" s="6" t="s">
        <v>424</v>
      </c>
      <c r="B6" s="6" t="s">
        <v>221</v>
      </c>
      <c r="C6" s="9">
        <v>1</v>
      </c>
      <c r="D6" s="6"/>
      <c r="E6" s="6"/>
      <c r="F6" s="9"/>
    </row>
    <row r="7" spans="1:8" x14ac:dyDescent="0.2">
      <c r="A7" s="34"/>
      <c r="B7" s="46" t="s">
        <v>1021</v>
      </c>
      <c r="C7" s="35"/>
      <c r="D7" s="34" t="s">
        <v>491</v>
      </c>
      <c r="E7" s="34" t="s">
        <v>265</v>
      </c>
      <c r="F7" s="35">
        <v>2</v>
      </c>
    </row>
    <row r="8" spans="1:8" x14ac:dyDescent="0.2">
      <c r="A8" s="34"/>
      <c r="B8" s="46" t="s">
        <v>1016</v>
      </c>
      <c r="C8" s="35"/>
      <c r="D8" s="34" t="s">
        <v>445</v>
      </c>
      <c r="E8" s="34" t="s">
        <v>446</v>
      </c>
      <c r="F8" s="35">
        <v>2</v>
      </c>
    </row>
    <row r="9" spans="1:8" x14ac:dyDescent="0.2">
      <c r="A9" s="54"/>
      <c r="B9" s="54" t="s">
        <v>1027</v>
      </c>
      <c r="C9" s="54"/>
      <c r="D9" s="34" t="s">
        <v>499</v>
      </c>
      <c r="E9" s="34" t="s">
        <v>472</v>
      </c>
      <c r="F9" s="35">
        <v>1</v>
      </c>
    </row>
    <row r="10" spans="1:8" x14ac:dyDescent="0.2">
      <c r="A10" s="10" t="s">
        <v>209</v>
      </c>
      <c r="B10" s="11"/>
      <c r="C10" s="12">
        <f>SUM(C5:C8)</f>
        <v>3</v>
      </c>
      <c r="D10" s="11"/>
      <c r="E10" s="11"/>
      <c r="F10" s="12">
        <f>SUM(F5:F8)</f>
        <v>6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3</v>
      </c>
    </row>
  </sheetData>
  <mergeCells count="3">
    <mergeCell ref="A1:F1"/>
    <mergeCell ref="A2:F2"/>
    <mergeCell ref="A11:E11"/>
  </mergeCells>
  <hyperlinks>
    <hyperlink ref="H1" r:id="rId1" location="'Summary'!A1" xr:uid="{00000000-0004-0000-3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0"/>
  <sheetViews>
    <sheetView showGridLines="0" zoomScale="190" zoomScaleNormal="100" workbookViewId="0">
      <selection sqref="A1:F20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581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1572</v>
      </c>
      <c r="D5" s="6" t="s">
        <v>474</v>
      </c>
      <c r="E5" s="6" t="s">
        <v>426</v>
      </c>
      <c r="F5" s="9">
        <v>1212</v>
      </c>
    </row>
    <row r="6" spans="1:8" x14ac:dyDescent="0.2">
      <c r="A6" s="6"/>
      <c r="B6" s="6"/>
      <c r="C6" s="9"/>
      <c r="D6" s="6" t="s">
        <v>425</v>
      </c>
      <c r="E6" s="6" t="s">
        <v>426</v>
      </c>
      <c r="F6" s="9">
        <v>300</v>
      </c>
    </row>
    <row r="7" spans="1:8" x14ac:dyDescent="0.2">
      <c r="A7" s="6"/>
      <c r="B7" s="6"/>
      <c r="C7" s="9"/>
      <c r="D7" s="6" t="s">
        <v>582</v>
      </c>
      <c r="E7" s="6" t="s">
        <v>285</v>
      </c>
      <c r="F7" s="9">
        <v>60</v>
      </c>
    </row>
    <row r="8" spans="1:8" x14ac:dyDescent="0.2">
      <c r="A8" s="6" t="s">
        <v>482</v>
      </c>
      <c r="B8" s="6" t="s">
        <v>275</v>
      </c>
      <c r="C8" s="9">
        <v>1400</v>
      </c>
      <c r="D8" s="6" t="s">
        <v>506</v>
      </c>
      <c r="E8" s="6" t="s">
        <v>507</v>
      </c>
      <c r="F8" s="9">
        <v>1400</v>
      </c>
    </row>
    <row r="9" spans="1:8" x14ac:dyDescent="0.2">
      <c r="A9" s="6" t="s">
        <v>282</v>
      </c>
      <c r="B9" s="6" t="s">
        <v>283</v>
      </c>
      <c r="C9" s="9">
        <v>350</v>
      </c>
      <c r="D9" s="6" t="s">
        <v>427</v>
      </c>
      <c r="E9" s="6" t="s">
        <v>285</v>
      </c>
      <c r="F9" s="9">
        <v>350</v>
      </c>
    </row>
    <row r="10" spans="1:8" x14ac:dyDescent="0.2">
      <c r="A10" s="34" t="s">
        <v>512</v>
      </c>
      <c r="B10" s="34" t="s">
        <v>226</v>
      </c>
      <c r="C10" s="35">
        <v>90</v>
      </c>
      <c r="D10" s="34" t="s">
        <v>513</v>
      </c>
      <c r="E10" s="34" t="s">
        <v>511</v>
      </c>
      <c r="F10" s="35">
        <v>85</v>
      </c>
    </row>
    <row r="11" spans="1:8" x14ac:dyDescent="0.2">
      <c r="A11" s="34" t="s">
        <v>514</v>
      </c>
      <c r="B11" s="34" t="s">
        <v>226</v>
      </c>
      <c r="C11" s="35">
        <v>90</v>
      </c>
      <c r="D11" s="34"/>
      <c r="E11" s="34"/>
      <c r="F11" s="35"/>
    </row>
    <row r="12" spans="1:8" x14ac:dyDescent="0.2">
      <c r="A12" s="34" t="s">
        <v>294</v>
      </c>
      <c r="B12" s="34" t="s">
        <v>270</v>
      </c>
      <c r="C12" s="35">
        <v>50</v>
      </c>
      <c r="D12" s="34" t="s">
        <v>436</v>
      </c>
      <c r="E12" s="34" t="s">
        <v>426</v>
      </c>
      <c r="F12" s="35">
        <v>50</v>
      </c>
    </row>
    <row r="13" spans="1:8" x14ac:dyDescent="0.2">
      <c r="A13" s="34" t="s">
        <v>437</v>
      </c>
      <c r="B13" s="34" t="s">
        <v>270</v>
      </c>
      <c r="C13" s="35">
        <v>50</v>
      </c>
      <c r="D13" s="34"/>
      <c r="E13" s="34"/>
      <c r="F13" s="35"/>
    </row>
    <row r="14" spans="1:8" x14ac:dyDescent="0.2">
      <c r="A14" s="6" t="s">
        <v>325</v>
      </c>
      <c r="B14" s="6" t="s">
        <v>203</v>
      </c>
      <c r="C14" s="9">
        <v>50</v>
      </c>
      <c r="D14" s="6" t="s">
        <v>326</v>
      </c>
      <c r="E14" s="6" t="s">
        <v>285</v>
      </c>
      <c r="F14" s="9">
        <v>80</v>
      </c>
    </row>
    <row r="15" spans="1:8" x14ac:dyDescent="0.2">
      <c r="A15" s="6" t="s">
        <v>327</v>
      </c>
      <c r="B15" s="6" t="s">
        <v>203</v>
      </c>
      <c r="C15" s="9">
        <v>30</v>
      </c>
      <c r="D15" s="6"/>
      <c r="E15" s="6"/>
      <c r="F15" s="9"/>
    </row>
    <row r="16" spans="1:8" x14ac:dyDescent="0.2">
      <c r="A16" s="34"/>
      <c r="B16" s="46" t="s">
        <v>1021</v>
      </c>
      <c r="C16" s="35"/>
      <c r="D16" s="34" t="s">
        <v>510</v>
      </c>
      <c r="E16" s="34" t="s">
        <v>511</v>
      </c>
      <c r="F16" s="35">
        <v>200</v>
      </c>
    </row>
    <row r="17" spans="1:6" x14ac:dyDescent="0.2">
      <c r="A17" s="6" t="s">
        <v>312</v>
      </c>
      <c r="B17" s="6" t="s">
        <v>313</v>
      </c>
      <c r="C17" s="9">
        <v>10</v>
      </c>
      <c r="D17" s="6" t="s">
        <v>583</v>
      </c>
      <c r="E17" s="6" t="s">
        <v>511</v>
      </c>
      <c r="F17" s="9">
        <v>13</v>
      </c>
    </row>
    <row r="18" spans="1:6" x14ac:dyDescent="0.2">
      <c r="D18" s="6"/>
      <c r="E18" s="6"/>
      <c r="F18" s="9"/>
    </row>
    <row r="19" spans="1:6" x14ac:dyDescent="0.2">
      <c r="A19" s="10" t="s">
        <v>209</v>
      </c>
      <c r="B19" s="11"/>
      <c r="C19" s="12">
        <f>SUM(C5:C17)</f>
        <v>3692</v>
      </c>
      <c r="D19" s="11"/>
      <c r="E19" s="11"/>
      <c r="F19" s="12">
        <f>SUM(F5:F17)</f>
        <v>3750</v>
      </c>
    </row>
    <row r="20" spans="1:6" x14ac:dyDescent="0.2">
      <c r="A20" s="2" t="s">
        <v>210</v>
      </c>
      <c r="B20" s="2"/>
      <c r="C20" s="2"/>
      <c r="D20" s="2"/>
      <c r="E20" s="2"/>
      <c r="F20" s="12">
        <f>F19-C19</f>
        <v>58</v>
      </c>
    </row>
  </sheetData>
  <mergeCells count="3">
    <mergeCell ref="A1:F1"/>
    <mergeCell ref="A2:F2"/>
    <mergeCell ref="A20:E20"/>
  </mergeCells>
  <hyperlinks>
    <hyperlink ref="H1" r:id="rId1" location="'Summary'!A1" xr:uid="{00000000-0004-0000-3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1"/>
  <sheetViews>
    <sheetView showGridLines="0" tabSelected="1" zoomScale="150" zoomScaleNormal="100" workbookViewId="0">
      <selection activeCell="H1" sqref="H1"/>
    </sheetView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584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282</v>
      </c>
      <c r="B5" s="6" t="s">
        <v>283</v>
      </c>
      <c r="C5" s="9">
        <v>106</v>
      </c>
      <c r="D5" s="6" t="s">
        <v>585</v>
      </c>
      <c r="E5" s="6" t="s">
        <v>586</v>
      </c>
      <c r="F5" s="9">
        <v>106</v>
      </c>
    </row>
    <row r="6" spans="1:8" x14ac:dyDescent="0.2">
      <c r="A6" s="6" t="s">
        <v>587</v>
      </c>
      <c r="B6" s="6" t="s">
        <v>263</v>
      </c>
      <c r="C6" s="9">
        <v>54</v>
      </c>
      <c r="D6" s="6" t="s">
        <v>588</v>
      </c>
      <c r="E6" s="6" t="s">
        <v>586</v>
      </c>
      <c r="F6" s="9">
        <v>54</v>
      </c>
    </row>
    <row r="7" spans="1:8" x14ac:dyDescent="0.2">
      <c r="A7" s="6" t="s">
        <v>298</v>
      </c>
      <c r="B7" s="6" t="s">
        <v>283</v>
      </c>
      <c r="C7" s="9">
        <v>15</v>
      </c>
      <c r="D7" s="6" t="s">
        <v>589</v>
      </c>
      <c r="E7" s="6" t="s">
        <v>586</v>
      </c>
      <c r="F7" s="9">
        <v>40</v>
      </c>
    </row>
    <row r="8" spans="1:8" x14ac:dyDescent="0.2">
      <c r="A8" s="6" t="s">
        <v>590</v>
      </c>
      <c r="B8" s="6" t="s">
        <v>263</v>
      </c>
      <c r="C8" s="9">
        <v>14</v>
      </c>
      <c r="D8" s="6" t="s">
        <v>591</v>
      </c>
      <c r="E8" s="6" t="s">
        <v>586</v>
      </c>
      <c r="F8" s="9">
        <v>15</v>
      </c>
    </row>
    <row r="10" spans="1:8" x14ac:dyDescent="0.2">
      <c r="A10" s="10" t="s">
        <v>209</v>
      </c>
      <c r="B10" s="11"/>
      <c r="C10" s="12">
        <f>SUM(C5:C8)</f>
        <v>189</v>
      </c>
      <c r="D10" s="11"/>
      <c r="E10" s="11"/>
      <c r="F10" s="12">
        <f>SUM(F5:F8)</f>
        <v>215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26</v>
      </c>
    </row>
  </sheetData>
  <mergeCells count="3">
    <mergeCell ref="A1:F1"/>
    <mergeCell ref="A2:F2"/>
    <mergeCell ref="A11:E11"/>
  </mergeCells>
  <hyperlinks>
    <hyperlink ref="H1" r:id="rId1" location="'Summary'!A1" xr:uid="{00000000-0004-0000-3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592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206</v>
      </c>
      <c r="E5" s="6" t="s">
        <v>207</v>
      </c>
      <c r="F5" s="9">
        <v>4</v>
      </c>
    </row>
    <row r="6" spans="1:8" x14ac:dyDescent="0.2">
      <c r="A6" s="6"/>
      <c r="B6" s="6"/>
      <c r="C6" s="9"/>
      <c r="D6" s="6" t="s">
        <v>593</v>
      </c>
      <c r="E6" s="6" t="s">
        <v>338</v>
      </c>
      <c r="F6" s="9">
        <v>2</v>
      </c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6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6</v>
      </c>
    </row>
  </sheetData>
  <mergeCells count="3">
    <mergeCell ref="A1:F1"/>
    <mergeCell ref="A2:F2"/>
    <mergeCell ref="A9:E9"/>
  </mergeCells>
  <hyperlinks>
    <hyperlink ref="H1" r:id="rId1" location="'Summary'!A1" xr:uid="{00000000-0004-0000-3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594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448</v>
      </c>
      <c r="E5" s="6" t="s">
        <v>338</v>
      </c>
      <c r="F5" s="9">
        <v>9</v>
      </c>
    </row>
    <row r="6" spans="1:8" x14ac:dyDescent="0.2">
      <c r="A6" s="6"/>
      <c r="B6" s="6"/>
      <c r="C6" s="9"/>
      <c r="D6" s="6" t="s">
        <v>487</v>
      </c>
      <c r="E6" s="6" t="s">
        <v>338</v>
      </c>
      <c r="F6" s="9">
        <v>4</v>
      </c>
    </row>
    <row r="7" spans="1:8" x14ac:dyDescent="0.2">
      <c r="A7" s="6"/>
      <c r="B7" s="6"/>
      <c r="C7" s="9"/>
      <c r="D7" s="6" t="s">
        <v>595</v>
      </c>
      <c r="E7" s="6" t="s">
        <v>338</v>
      </c>
      <c r="F7" s="9">
        <v>2</v>
      </c>
    </row>
    <row r="8" spans="1:8" x14ac:dyDescent="0.2">
      <c r="A8" s="6"/>
      <c r="B8" s="6"/>
      <c r="C8" s="9"/>
      <c r="D8" s="6" t="s">
        <v>488</v>
      </c>
      <c r="E8" s="6" t="s">
        <v>338</v>
      </c>
      <c r="F8" s="9">
        <v>2</v>
      </c>
    </row>
    <row r="10" spans="1:8" x14ac:dyDescent="0.2">
      <c r="A10" s="10" t="s">
        <v>209</v>
      </c>
      <c r="B10" s="11"/>
      <c r="C10" s="12">
        <f>SUM(C5:C8)</f>
        <v>0</v>
      </c>
      <c r="D10" s="11"/>
      <c r="E10" s="11"/>
      <c r="F10" s="12">
        <f>SUM(F5:F8)</f>
        <v>17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17</v>
      </c>
    </row>
  </sheetData>
  <mergeCells count="3">
    <mergeCell ref="A1:F1"/>
    <mergeCell ref="A2:F2"/>
    <mergeCell ref="A11:E11"/>
  </mergeCells>
  <hyperlinks>
    <hyperlink ref="H1" r:id="rId1" location="'Summary'!A1" xr:uid="{00000000-0004-0000-3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596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369</v>
      </c>
      <c r="B5" s="6" t="s">
        <v>270</v>
      </c>
      <c r="C5" s="9">
        <v>20</v>
      </c>
      <c r="D5" s="6" t="s">
        <v>597</v>
      </c>
      <c r="E5" s="6" t="s">
        <v>318</v>
      </c>
      <c r="F5" s="9">
        <v>20</v>
      </c>
    </row>
    <row r="6" spans="1:8" x14ac:dyDescent="0.2">
      <c r="A6" s="6"/>
      <c r="B6" s="6"/>
      <c r="C6" s="9"/>
      <c r="D6" s="6" t="s">
        <v>598</v>
      </c>
      <c r="E6" s="6" t="s">
        <v>265</v>
      </c>
      <c r="F6" s="9">
        <v>14</v>
      </c>
    </row>
    <row r="8" spans="1:8" x14ac:dyDescent="0.2">
      <c r="A8" s="10" t="s">
        <v>209</v>
      </c>
      <c r="B8" s="11"/>
      <c r="C8" s="12">
        <f>SUM(C5:C6)</f>
        <v>20</v>
      </c>
      <c r="D8" s="11"/>
      <c r="E8" s="11"/>
      <c r="F8" s="12">
        <f>SUM(F5:F6)</f>
        <v>34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14</v>
      </c>
    </row>
  </sheetData>
  <mergeCells count="3">
    <mergeCell ref="A1:F1"/>
    <mergeCell ref="A2:F2"/>
    <mergeCell ref="A9:E9"/>
  </mergeCells>
  <hyperlinks>
    <hyperlink ref="H1" r:id="rId1" location="'Summary'!A1" xr:uid="{00000000-0004-0000-3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599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/>
      <c r="E5" s="6"/>
      <c r="F5" s="9"/>
    </row>
    <row r="6" spans="1:8" x14ac:dyDescent="0.2">
      <c r="A6" s="1" t="s">
        <v>463</v>
      </c>
      <c r="B6" s="1"/>
      <c r="C6" s="1"/>
      <c r="D6" s="1"/>
      <c r="E6" s="1"/>
      <c r="F6" s="1"/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0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0</v>
      </c>
    </row>
  </sheetData>
  <mergeCells count="4">
    <mergeCell ref="A1:F1"/>
    <mergeCell ref="A2:F2"/>
    <mergeCell ref="A6:F6"/>
    <mergeCell ref="A9:E9"/>
  </mergeCells>
  <hyperlinks>
    <hyperlink ref="H1" r:id="rId1" location="'Summary'!A1" xr:uid="{00000000-0004-0000-3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600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329</v>
      </c>
      <c r="B5" s="6" t="s">
        <v>203</v>
      </c>
      <c r="C5" s="9">
        <v>2</v>
      </c>
      <c r="D5" s="6" t="s">
        <v>206</v>
      </c>
      <c r="E5" s="6" t="s">
        <v>207</v>
      </c>
      <c r="F5" s="9">
        <v>12</v>
      </c>
    </row>
    <row r="6" spans="1:8" x14ac:dyDescent="0.2">
      <c r="A6" s="6"/>
      <c r="B6" s="6"/>
      <c r="C6" s="9"/>
      <c r="D6" s="6" t="s">
        <v>601</v>
      </c>
      <c r="E6" s="6" t="s">
        <v>207</v>
      </c>
      <c r="F6" s="9">
        <v>2</v>
      </c>
    </row>
    <row r="8" spans="1:8" x14ac:dyDescent="0.2">
      <c r="A8" s="10" t="s">
        <v>209</v>
      </c>
      <c r="B8" s="11"/>
      <c r="C8" s="12">
        <f>SUM(C5:C6)</f>
        <v>2</v>
      </c>
      <c r="D8" s="11"/>
      <c r="E8" s="11"/>
      <c r="F8" s="12">
        <f>SUM(F5:F6)</f>
        <v>14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12</v>
      </c>
    </row>
  </sheetData>
  <mergeCells count="3">
    <mergeCell ref="A1:F1"/>
    <mergeCell ref="A2:F2"/>
    <mergeCell ref="A9:E9"/>
  </mergeCells>
  <hyperlinks>
    <hyperlink ref="H1" r:id="rId1" location="'Summary'!A1" xr:uid="{00000000-0004-0000-3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602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491</v>
      </c>
      <c r="E5" s="6" t="s">
        <v>265</v>
      </c>
      <c r="F5" s="9">
        <v>6</v>
      </c>
    </row>
    <row r="6" spans="1:8" x14ac:dyDescent="0.2">
      <c r="A6" s="6"/>
      <c r="B6" s="6"/>
      <c r="C6" s="9"/>
      <c r="D6" s="6" t="s">
        <v>603</v>
      </c>
      <c r="E6" s="6" t="s">
        <v>402</v>
      </c>
      <c r="F6" s="9">
        <v>5</v>
      </c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11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11</v>
      </c>
    </row>
  </sheetData>
  <mergeCells count="3">
    <mergeCell ref="A1:F1"/>
    <mergeCell ref="A2:F2"/>
    <mergeCell ref="A9:E9"/>
  </mergeCells>
  <hyperlinks>
    <hyperlink ref="H1" r:id="rId1" location="'Summary'!A1" xr:uid="{00000000-0004-0000-3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2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604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605</v>
      </c>
      <c r="B5" s="6" t="s">
        <v>234</v>
      </c>
      <c r="C5" s="9">
        <v>28</v>
      </c>
      <c r="D5" s="6" t="s">
        <v>606</v>
      </c>
      <c r="E5" s="6" t="s">
        <v>201</v>
      </c>
      <c r="F5" s="9">
        <v>28</v>
      </c>
    </row>
    <row r="6" spans="1:8" x14ac:dyDescent="0.2">
      <c r="A6" s="6" t="s">
        <v>240</v>
      </c>
      <c r="B6" s="6" t="s">
        <v>241</v>
      </c>
      <c r="C6" s="9">
        <v>8</v>
      </c>
      <c r="D6" s="6" t="s">
        <v>607</v>
      </c>
      <c r="E6" s="6" t="s">
        <v>201</v>
      </c>
      <c r="F6" s="9">
        <v>8</v>
      </c>
    </row>
    <row r="7" spans="1:8" x14ac:dyDescent="0.2">
      <c r="A7" s="6" t="s">
        <v>608</v>
      </c>
      <c r="B7" s="6" t="s">
        <v>503</v>
      </c>
      <c r="C7" s="9">
        <v>6</v>
      </c>
      <c r="D7" s="6" t="s">
        <v>363</v>
      </c>
      <c r="E7" s="6" t="s">
        <v>201</v>
      </c>
      <c r="F7" s="9">
        <v>4</v>
      </c>
    </row>
    <row r="8" spans="1:8" x14ac:dyDescent="0.2">
      <c r="A8" s="6" t="s">
        <v>253</v>
      </c>
      <c r="B8" s="6" t="s">
        <v>254</v>
      </c>
      <c r="C8" s="9">
        <v>3</v>
      </c>
      <c r="D8" s="6" t="s">
        <v>609</v>
      </c>
      <c r="E8" s="6" t="s">
        <v>201</v>
      </c>
      <c r="F8" s="9">
        <v>4</v>
      </c>
    </row>
    <row r="9" spans="1:8" x14ac:dyDescent="0.2">
      <c r="A9" s="6" t="s">
        <v>258</v>
      </c>
      <c r="B9" s="6" t="s">
        <v>226</v>
      </c>
      <c r="C9" s="9">
        <v>3</v>
      </c>
      <c r="D9" s="6" t="s">
        <v>610</v>
      </c>
      <c r="E9" s="6" t="s">
        <v>201</v>
      </c>
      <c r="F9" s="9">
        <v>3</v>
      </c>
    </row>
    <row r="10" spans="1:8" x14ac:dyDescent="0.2">
      <c r="A10" s="6" t="s">
        <v>611</v>
      </c>
      <c r="B10" s="6" t="s">
        <v>612</v>
      </c>
      <c r="C10" s="9">
        <v>2</v>
      </c>
      <c r="D10" s="6" t="s">
        <v>613</v>
      </c>
      <c r="E10" s="6" t="s">
        <v>201</v>
      </c>
      <c r="F10" s="9">
        <v>3</v>
      </c>
    </row>
    <row r="11" spans="1:8" x14ac:dyDescent="0.2">
      <c r="A11" s="6" t="s">
        <v>614</v>
      </c>
      <c r="B11" s="6" t="s">
        <v>234</v>
      </c>
      <c r="C11" s="9">
        <v>2</v>
      </c>
      <c r="D11" s="6" t="s">
        <v>465</v>
      </c>
      <c r="E11" s="6" t="s">
        <v>201</v>
      </c>
      <c r="F11" s="9">
        <v>3</v>
      </c>
    </row>
    <row r="12" spans="1:8" x14ac:dyDescent="0.2">
      <c r="A12" s="6" t="s">
        <v>243</v>
      </c>
      <c r="B12" s="6" t="s">
        <v>244</v>
      </c>
      <c r="C12" s="9">
        <v>1</v>
      </c>
      <c r="D12" s="6" t="s">
        <v>615</v>
      </c>
      <c r="E12" s="6" t="s">
        <v>201</v>
      </c>
      <c r="F12" s="9">
        <v>2</v>
      </c>
    </row>
    <row r="13" spans="1:8" x14ac:dyDescent="0.2">
      <c r="A13" s="6" t="s">
        <v>246</v>
      </c>
      <c r="B13" s="6" t="s">
        <v>244</v>
      </c>
      <c r="C13" s="9">
        <v>1</v>
      </c>
      <c r="D13" s="6" t="s">
        <v>616</v>
      </c>
      <c r="E13" s="6" t="s">
        <v>201</v>
      </c>
      <c r="F13" s="9">
        <v>2</v>
      </c>
    </row>
    <row r="14" spans="1:8" x14ac:dyDescent="0.2">
      <c r="A14" s="6"/>
      <c r="B14" s="6"/>
      <c r="C14" s="9"/>
      <c r="D14" s="6" t="s">
        <v>617</v>
      </c>
      <c r="E14" s="6" t="s">
        <v>201</v>
      </c>
      <c r="F14" s="9">
        <v>2</v>
      </c>
    </row>
    <row r="15" spans="1:8" x14ac:dyDescent="0.2">
      <c r="A15" s="6"/>
      <c r="B15" s="6"/>
      <c r="C15" s="9"/>
      <c r="D15" s="6" t="s">
        <v>618</v>
      </c>
      <c r="E15" s="6" t="s">
        <v>201</v>
      </c>
      <c r="F15" s="9">
        <v>1</v>
      </c>
    </row>
    <row r="16" spans="1:8" x14ac:dyDescent="0.2">
      <c r="A16" s="6"/>
      <c r="B16" s="6"/>
      <c r="C16" s="9"/>
      <c r="D16" s="6" t="s">
        <v>619</v>
      </c>
      <c r="E16" s="6" t="s">
        <v>201</v>
      </c>
      <c r="F16" s="9">
        <v>1</v>
      </c>
    </row>
    <row r="17" spans="1:6" x14ac:dyDescent="0.2">
      <c r="A17" s="6"/>
      <c r="B17" s="6"/>
      <c r="C17" s="9"/>
      <c r="D17" s="6" t="s">
        <v>245</v>
      </c>
      <c r="E17" s="6" t="s">
        <v>201</v>
      </c>
      <c r="F17" s="9">
        <v>1</v>
      </c>
    </row>
    <row r="19" spans="1:6" x14ac:dyDescent="0.2">
      <c r="A19" s="10" t="s">
        <v>209</v>
      </c>
      <c r="B19" s="11"/>
      <c r="C19" s="12">
        <f>SUM(C5:C17)</f>
        <v>54</v>
      </c>
      <c r="D19" s="11"/>
      <c r="E19" s="11"/>
      <c r="F19" s="12">
        <f>SUM(F5:F17)</f>
        <v>62</v>
      </c>
    </row>
    <row r="20" spans="1:6" x14ac:dyDescent="0.2">
      <c r="A20" s="2" t="s">
        <v>210</v>
      </c>
      <c r="B20" s="2"/>
      <c r="C20" s="2"/>
      <c r="D20" s="2"/>
      <c r="E20" s="2"/>
      <c r="F20" s="12">
        <f>F19-C19</f>
        <v>8</v>
      </c>
    </row>
  </sheetData>
  <mergeCells count="3">
    <mergeCell ref="A1:F1"/>
    <mergeCell ref="A2:F2"/>
    <mergeCell ref="A20:E20"/>
  </mergeCells>
  <hyperlinks>
    <hyperlink ref="H1" r:id="rId1" location="'Summary'!A1" xr:uid="{00000000-0004-0000-3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8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620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621</v>
      </c>
      <c r="E5" s="6" t="s">
        <v>285</v>
      </c>
      <c r="F5" s="9">
        <v>330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330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330</v>
      </c>
    </row>
  </sheetData>
  <mergeCells count="3">
    <mergeCell ref="A1:F1"/>
    <mergeCell ref="A2:F2"/>
    <mergeCell ref="A8:E8"/>
  </mergeCells>
  <hyperlinks>
    <hyperlink ref="H1" r:id="rId1" location="'Summary'!A1" xr:uid="{00000000-0004-0000-3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8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622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623</v>
      </c>
      <c r="B5" s="6" t="s">
        <v>292</v>
      </c>
      <c r="C5" s="9">
        <v>2</v>
      </c>
      <c r="D5" s="6" t="s">
        <v>624</v>
      </c>
      <c r="E5" s="6" t="s">
        <v>290</v>
      </c>
      <c r="F5" s="9">
        <v>2</v>
      </c>
    </row>
    <row r="7" spans="1:8" x14ac:dyDescent="0.2">
      <c r="A7" s="10" t="s">
        <v>209</v>
      </c>
      <c r="B7" s="11"/>
      <c r="C7" s="12">
        <f>SUM(C5:C5)</f>
        <v>2</v>
      </c>
      <c r="D7" s="11"/>
      <c r="E7" s="11"/>
      <c r="F7" s="12">
        <f>SUM(F5:F5)</f>
        <v>2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0</v>
      </c>
    </row>
  </sheetData>
  <mergeCells count="3">
    <mergeCell ref="A1:F1"/>
    <mergeCell ref="A2:F2"/>
    <mergeCell ref="A8:E8"/>
  </mergeCells>
  <hyperlinks>
    <hyperlink ref="H1" r:id="rId1" location="'Summary'!A1" xr:uid="{00000000-0004-0000-3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625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469</v>
      </c>
      <c r="B5" s="6" t="s">
        <v>452</v>
      </c>
      <c r="C5" s="9">
        <v>8</v>
      </c>
      <c r="D5" s="6" t="s">
        <v>470</v>
      </c>
      <c r="E5" s="6" t="s">
        <v>207</v>
      </c>
      <c r="F5" s="9">
        <v>8</v>
      </c>
    </row>
    <row r="6" spans="1:8" x14ac:dyDescent="0.2">
      <c r="A6" s="6"/>
      <c r="B6" s="6"/>
      <c r="C6" s="9"/>
      <c r="D6" s="6" t="s">
        <v>445</v>
      </c>
      <c r="E6" s="6" t="s">
        <v>446</v>
      </c>
      <c r="F6" s="9">
        <v>3</v>
      </c>
    </row>
    <row r="7" spans="1:8" x14ac:dyDescent="0.2">
      <c r="A7" s="6"/>
      <c r="B7" s="6"/>
      <c r="C7" s="9"/>
      <c r="D7" s="6" t="s">
        <v>491</v>
      </c>
      <c r="E7" s="6" t="s">
        <v>265</v>
      </c>
      <c r="F7" s="9">
        <v>1</v>
      </c>
    </row>
    <row r="9" spans="1:8" x14ac:dyDescent="0.2">
      <c r="A9" s="10" t="s">
        <v>209</v>
      </c>
      <c r="B9" s="11"/>
      <c r="C9" s="12">
        <f>SUM(C5:C7)</f>
        <v>8</v>
      </c>
      <c r="D9" s="11"/>
      <c r="E9" s="11"/>
      <c r="F9" s="12">
        <f>SUM(F5:F7)</f>
        <v>12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4</v>
      </c>
    </row>
  </sheetData>
  <mergeCells count="3">
    <mergeCell ref="A1:F1"/>
    <mergeCell ref="A2:F2"/>
    <mergeCell ref="A10:E10"/>
  </mergeCells>
  <hyperlinks>
    <hyperlink ref="H1" r:id="rId1" location="'Summary'!A1" xr:uid="{00000000-0004-0000-4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626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12</v>
      </c>
      <c r="D5" s="6" t="s">
        <v>441</v>
      </c>
      <c r="E5" s="6" t="s">
        <v>338</v>
      </c>
      <c r="F5" s="9">
        <v>20</v>
      </c>
    </row>
    <row r="6" spans="1:8" x14ac:dyDescent="0.2">
      <c r="A6" s="6" t="s">
        <v>437</v>
      </c>
      <c r="B6" s="6" t="s">
        <v>270</v>
      </c>
      <c r="C6" s="9">
        <v>12</v>
      </c>
      <c r="D6" s="6" t="s">
        <v>440</v>
      </c>
      <c r="E6" s="6" t="s">
        <v>338</v>
      </c>
      <c r="F6" s="9">
        <v>12</v>
      </c>
    </row>
    <row r="7" spans="1:8" x14ac:dyDescent="0.2">
      <c r="A7" s="6"/>
      <c r="B7" s="6"/>
      <c r="C7" s="9"/>
      <c r="D7" s="6" t="s">
        <v>595</v>
      </c>
      <c r="E7" s="6" t="s">
        <v>338</v>
      </c>
      <c r="F7" s="9">
        <v>6</v>
      </c>
    </row>
    <row r="8" spans="1:8" x14ac:dyDescent="0.2">
      <c r="A8" s="6"/>
      <c r="B8" s="6"/>
      <c r="C8" s="9"/>
      <c r="D8" s="6" t="s">
        <v>448</v>
      </c>
      <c r="E8" s="6" t="s">
        <v>338</v>
      </c>
      <c r="F8" s="9">
        <v>2</v>
      </c>
    </row>
    <row r="10" spans="1:8" x14ac:dyDescent="0.2">
      <c r="A10" s="10" t="s">
        <v>209</v>
      </c>
      <c r="B10" s="11"/>
      <c r="C10" s="12">
        <f>SUM(C5:C8)</f>
        <v>24</v>
      </c>
      <c r="D10" s="11"/>
      <c r="E10" s="11"/>
      <c r="F10" s="12">
        <f>SUM(F5:F8)</f>
        <v>40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16</v>
      </c>
    </row>
  </sheetData>
  <mergeCells count="3">
    <mergeCell ref="A1:F1"/>
    <mergeCell ref="A2:F2"/>
    <mergeCell ref="A11:E11"/>
  </mergeCells>
  <hyperlinks>
    <hyperlink ref="H1" r:id="rId1" location="'Summary'!A1" xr:uid="{00000000-0004-0000-4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4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627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628</v>
      </c>
      <c r="B5" s="6" t="s">
        <v>275</v>
      </c>
      <c r="C5" s="9">
        <v>51</v>
      </c>
      <c r="D5" s="6" t="s">
        <v>629</v>
      </c>
      <c r="E5" s="6" t="s">
        <v>630</v>
      </c>
      <c r="F5" s="9">
        <v>95</v>
      </c>
    </row>
    <row r="6" spans="1:8" x14ac:dyDescent="0.2">
      <c r="A6" s="6" t="s">
        <v>220</v>
      </c>
      <c r="B6" s="6" t="s">
        <v>221</v>
      </c>
      <c r="C6" s="9">
        <v>50</v>
      </c>
      <c r="D6" s="6" t="s">
        <v>631</v>
      </c>
      <c r="E6" s="6" t="s">
        <v>632</v>
      </c>
      <c r="F6" s="9">
        <v>50</v>
      </c>
    </row>
    <row r="7" spans="1:8" x14ac:dyDescent="0.2">
      <c r="A7" s="6" t="s">
        <v>556</v>
      </c>
      <c r="B7" s="6" t="s">
        <v>283</v>
      </c>
      <c r="C7" s="9">
        <v>23</v>
      </c>
      <c r="D7" s="6" t="s">
        <v>633</v>
      </c>
      <c r="E7" s="6" t="s">
        <v>630</v>
      </c>
      <c r="F7" s="9">
        <v>23</v>
      </c>
    </row>
    <row r="8" spans="1:8" x14ac:dyDescent="0.2">
      <c r="A8" s="6" t="s">
        <v>294</v>
      </c>
      <c r="B8" s="6" t="s">
        <v>270</v>
      </c>
      <c r="C8" s="9">
        <v>22</v>
      </c>
      <c r="D8" s="6" t="s">
        <v>634</v>
      </c>
      <c r="E8" s="6" t="s">
        <v>630</v>
      </c>
      <c r="F8" s="9">
        <v>22</v>
      </c>
    </row>
    <row r="9" spans="1:8" x14ac:dyDescent="0.2">
      <c r="A9" s="6" t="s">
        <v>296</v>
      </c>
      <c r="B9" s="6" t="s">
        <v>270</v>
      </c>
      <c r="C9" s="9">
        <v>22</v>
      </c>
      <c r="D9" s="6" t="s">
        <v>635</v>
      </c>
      <c r="E9" s="6" t="s">
        <v>630</v>
      </c>
      <c r="F9" s="9">
        <v>5</v>
      </c>
    </row>
    <row r="10" spans="1:8" x14ac:dyDescent="0.2">
      <c r="A10" s="6" t="s">
        <v>636</v>
      </c>
      <c r="B10" s="6" t="s">
        <v>263</v>
      </c>
      <c r="C10" s="9">
        <v>5</v>
      </c>
      <c r="D10" s="6" t="s">
        <v>637</v>
      </c>
      <c r="E10" s="6" t="s">
        <v>638</v>
      </c>
      <c r="F10" s="9">
        <v>3</v>
      </c>
    </row>
    <row r="11" spans="1:8" x14ac:dyDescent="0.2">
      <c r="A11" s="6" t="s">
        <v>639</v>
      </c>
      <c r="B11" s="6" t="s">
        <v>270</v>
      </c>
      <c r="C11" s="9">
        <v>3</v>
      </c>
      <c r="D11" s="6"/>
      <c r="E11" s="6"/>
      <c r="F11" s="9"/>
    </row>
    <row r="13" spans="1:8" x14ac:dyDescent="0.2">
      <c r="A13" s="10" t="s">
        <v>209</v>
      </c>
      <c r="B13" s="11"/>
      <c r="C13" s="12">
        <f>SUM(C5:C11)</f>
        <v>176</v>
      </c>
      <c r="D13" s="11"/>
      <c r="E13" s="11"/>
      <c r="F13" s="12">
        <f>SUM(F5:F11)</f>
        <v>198</v>
      </c>
    </row>
    <row r="14" spans="1:8" x14ac:dyDescent="0.2">
      <c r="A14" s="2" t="s">
        <v>210</v>
      </c>
      <c r="B14" s="2"/>
      <c r="C14" s="2"/>
      <c r="D14" s="2"/>
      <c r="E14" s="2"/>
      <c r="F14" s="12">
        <f>F13-C13</f>
        <v>22</v>
      </c>
    </row>
  </sheetData>
  <mergeCells count="3">
    <mergeCell ref="A1:F1"/>
    <mergeCell ref="A2:F2"/>
    <mergeCell ref="A14:E14"/>
  </mergeCells>
  <hyperlinks>
    <hyperlink ref="H1" r:id="rId1" location="'Summary'!A1" xr:uid="{00000000-0004-0000-4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5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640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306</v>
      </c>
      <c r="B5" s="6" t="s">
        <v>270</v>
      </c>
      <c r="C5" s="9">
        <v>12</v>
      </c>
      <c r="D5" s="6" t="s">
        <v>641</v>
      </c>
      <c r="E5" s="6" t="s">
        <v>638</v>
      </c>
      <c r="F5" s="9">
        <v>29</v>
      </c>
    </row>
    <row r="6" spans="1:8" x14ac:dyDescent="0.2">
      <c r="A6" s="6" t="s">
        <v>642</v>
      </c>
      <c r="B6" s="6" t="s">
        <v>270</v>
      </c>
      <c r="C6" s="9">
        <v>8</v>
      </c>
      <c r="D6" s="6" t="s">
        <v>643</v>
      </c>
      <c r="E6" s="6" t="s">
        <v>338</v>
      </c>
      <c r="F6" s="9">
        <v>10</v>
      </c>
    </row>
    <row r="7" spans="1:8" x14ac:dyDescent="0.2">
      <c r="A7" s="6" t="s">
        <v>574</v>
      </c>
      <c r="B7" s="6" t="s">
        <v>275</v>
      </c>
      <c r="C7" s="9">
        <v>5</v>
      </c>
      <c r="D7" s="6" t="s">
        <v>644</v>
      </c>
      <c r="E7" s="6" t="s">
        <v>645</v>
      </c>
      <c r="F7" s="9">
        <v>8</v>
      </c>
    </row>
    <row r="8" spans="1:8" x14ac:dyDescent="0.2">
      <c r="A8" s="6" t="s">
        <v>512</v>
      </c>
      <c r="B8" s="6" t="s">
        <v>226</v>
      </c>
      <c r="C8" s="9">
        <v>4</v>
      </c>
      <c r="D8" s="6" t="s">
        <v>646</v>
      </c>
      <c r="E8" s="6" t="s">
        <v>273</v>
      </c>
      <c r="F8" s="9">
        <v>7</v>
      </c>
    </row>
    <row r="9" spans="1:8" x14ac:dyDescent="0.2">
      <c r="A9" s="6" t="s">
        <v>514</v>
      </c>
      <c r="B9" s="6" t="s">
        <v>226</v>
      </c>
      <c r="C9" s="9">
        <v>4</v>
      </c>
      <c r="D9" s="6" t="s">
        <v>647</v>
      </c>
      <c r="E9" s="6" t="s">
        <v>638</v>
      </c>
      <c r="F9" s="9">
        <v>2</v>
      </c>
    </row>
    <row r="10" spans="1:8" x14ac:dyDescent="0.2">
      <c r="A10" s="6" t="s">
        <v>648</v>
      </c>
      <c r="B10" s="6" t="s">
        <v>275</v>
      </c>
      <c r="C10" s="9">
        <v>4</v>
      </c>
      <c r="D10" s="6" t="s">
        <v>649</v>
      </c>
      <c r="E10" s="6" t="s">
        <v>638</v>
      </c>
      <c r="F10" s="9">
        <v>2</v>
      </c>
    </row>
    <row r="11" spans="1:8" x14ac:dyDescent="0.2">
      <c r="A11" s="6" t="s">
        <v>650</v>
      </c>
      <c r="B11" s="6" t="s">
        <v>344</v>
      </c>
      <c r="C11" s="9">
        <v>2</v>
      </c>
      <c r="D11" s="6" t="s">
        <v>651</v>
      </c>
      <c r="E11" s="6" t="s">
        <v>273</v>
      </c>
      <c r="F11" s="9">
        <v>2</v>
      </c>
    </row>
    <row r="12" spans="1:8" x14ac:dyDescent="0.2">
      <c r="A12" s="6"/>
      <c r="B12" s="6"/>
      <c r="C12" s="9"/>
      <c r="D12" s="6" t="s">
        <v>652</v>
      </c>
      <c r="E12" s="6" t="s">
        <v>638</v>
      </c>
      <c r="F12" s="9">
        <v>1</v>
      </c>
    </row>
    <row r="14" spans="1:8" x14ac:dyDescent="0.2">
      <c r="A14" s="10" t="s">
        <v>209</v>
      </c>
      <c r="B14" s="11"/>
      <c r="C14" s="12">
        <f>SUM(C5:C12)</f>
        <v>39</v>
      </c>
      <c r="D14" s="11"/>
      <c r="E14" s="11"/>
      <c r="F14" s="12">
        <f>SUM(F5:F12)</f>
        <v>61</v>
      </c>
    </row>
    <row r="15" spans="1:8" x14ac:dyDescent="0.2">
      <c r="A15" s="2" t="s">
        <v>210</v>
      </c>
      <c r="B15" s="2"/>
      <c r="C15" s="2"/>
      <c r="D15" s="2"/>
      <c r="E15" s="2"/>
      <c r="F15" s="12">
        <f>F14-C14</f>
        <v>22</v>
      </c>
    </row>
  </sheetData>
  <mergeCells count="3">
    <mergeCell ref="A1:F1"/>
    <mergeCell ref="A2:F2"/>
    <mergeCell ref="A15:E15"/>
  </mergeCells>
  <hyperlinks>
    <hyperlink ref="H1" r:id="rId1" location="'Summary'!A1" xr:uid="{00000000-0004-0000-4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653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433</v>
      </c>
      <c r="B5" s="6" t="s">
        <v>270</v>
      </c>
      <c r="C5" s="9">
        <v>32</v>
      </c>
      <c r="D5" s="6" t="s">
        <v>654</v>
      </c>
      <c r="E5" s="6" t="s">
        <v>563</v>
      </c>
      <c r="F5" s="9">
        <v>32</v>
      </c>
    </row>
    <row r="6" spans="1:8" x14ac:dyDescent="0.2">
      <c r="A6" s="6" t="s">
        <v>262</v>
      </c>
      <c r="B6" s="6" t="s">
        <v>263</v>
      </c>
      <c r="C6" s="9">
        <v>30</v>
      </c>
      <c r="D6" s="6" t="s">
        <v>655</v>
      </c>
      <c r="E6" s="6" t="s">
        <v>563</v>
      </c>
      <c r="F6" s="9">
        <v>30</v>
      </c>
    </row>
    <row r="7" spans="1:8" x14ac:dyDescent="0.2">
      <c r="A7" s="6" t="s">
        <v>282</v>
      </c>
      <c r="B7" s="6" t="s">
        <v>283</v>
      </c>
      <c r="C7" s="9">
        <v>28</v>
      </c>
      <c r="D7" s="6" t="s">
        <v>656</v>
      </c>
      <c r="E7" s="6" t="s">
        <v>657</v>
      </c>
      <c r="F7" s="9">
        <v>28</v>
      </c>
    </row>
    <row r="8" spans="1:8" x14ac:dyDescent="0.2">
      <c r="A8" s="6" t="s">
        <v>658</v>
      </c>
      <c r="B8" s="6" t="s">
        <v>292</v>
      </c>
      <c r="C8" s="9">
        <v>5</v>
      </c>
      <c r="D8" s="6" t="s">
        <v>659</v>
      </c>
      <c r="E8" s="6" t="s">
        <v>660</v>
      </c>
      <c r="F8" s="9">
        <v>10</v>
      </c>
    </row>
    <row r="9" spans="1:8" x14ac:dyDescent="0.2">
      <c r="A9" s="6" t="s">
        <v>500</v>
      </c>
      <c r="B9" s="6" t="s">
        <v>270</v>
      </c>
      <c r="C9" s="9">
        <v>4</v>
      </c>
      <c r="D9" s="6" t="s">
        <v>661</v>
      </c>
      <c r="E9" s="6" t="s">
        <v>662</v>
      </c>
      <c r="F9" s="9">
        <v>9</v>
      </c>
    </row>
    <row r="10" spans="1:8" x14ac:dyDescent="0.2">
      <c r="A10" s="6" t="s">
        <v>306</v>
      </c>
      <c r="B10" s="6" t="s">
        <v>270</v>
      </c>
      <c r="C10" s="9">
        <v>3</v>
      </c>
      <c r="D10" s="6" t="s">
        <v>663</v>
      </c>
      <c r="E10" s="6" t="s">
        <v>290</v>
      </c>
      <c r="F10" s="9">
        <v>5</v>
      </c>
    </row>
    <row r="11" spans="1:8" x14ac:dyDescent="0.2">
      <c r="A11" s="6" t="s">
        <v>664</v>
      </c>
      <c r="B11" s="6" t="s">
        <v>226</v>
      </c>
      <c r="C11" s="9">
        <v>2</v>
      </c>
      <c r="D11" s="6" t="s">
        <v>516</v>
      </c>
      <c r="E11" s="6" t="s">
        <v>426</v>
      </c>
      <c r="F11" s="9">
        <v>4</v>
      </c>
    </row>
    <row r="12" spans="1:8" x14ac:dyDescent="0.2">
      <c r="A12" s="6"/>
      <c r="B12" s="6"/>
      <c r="C12" s="9"/>
      <c r="D12" s="6" t="s">
        <v>665</v>
      </c>
      <c r="E12" s="6" t="s">
        <v>285</v>
      </c>
      <c r="F12" s="9">
        <v>4</v>
      </c>
    </row>
    <row r="13" spans="1:8" x14ac:dyDescent="0.2">
      <c r="A13" s="6"/>
      <c r="B13" s="6"/>
      <c r="C13" s="9"/>
      <c r="D13" s="6" t="s">
        <v>666</v>
      </c>
      <c r="E13" s="6" t="s">
        <v>660</v>
      </c>
      <c r="F13" s="9">
        <v>2</v>
      </c>
    </row>
    <row r="15" spans="1:8" x14ac:dyDescent="0.2">
      <c r="A15" s="10" t="s">
        <v>209</v>
      </c>
      <c r="B15" s="11"/>
      <c r="C15" s="12">
        <f>SUM(C5:C13)</f>
        <v>104</v>
      </c>
      <c r="D15" s="11"/>
      <c r="E15" s="11"/>
      <c r="F15" s="12">
        <f>SUM(F5:F13)</f>
        <v>124</v>
      </c>
    </row>
    <row r="16" spans="1:8" x14ac:dyDescent="0.2">
      <c r="A16" s="2" t="s">
        <v>210</v>
      </c>
      <c r="B16" s="2"/>
      <c r="C16" s="2"/>
      <c r="D16" s="2"/>
      <c r="E16" s="2"/>
      <c r="F16" s="12">
        <f>F15-C15</f>
        <v>20</v>
      </c>
    </row>
  </sheetData>
  <mergeCells count="3">
    <mergeCell ref="A1:F1"/>
    <mergeCell ref="A2:F2"/>
    <mergeCell ref="A16:E16"/>
  </mergeCells>
  <hyperlinks>
    <hyperlink ref="H1" r:id="rId1" location="'Summary'!A1" xr:uid="{00000000-0004-0000-4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1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667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658</v>
      </c>
      <c r="B5" s="6" t="s">
        <v>292</v>
      </c>
      <c r="C5" s="9">
        <v>10</v>
      </c>
      <c r="D5" s="6" t="s">
        <v>551</v>
      </c>
      <c r="E5" s="6" t="s">
        <v>552</v>
      </c>
      <c r="F5" s="9">
        <v>50</v>
      </c>
    </row>
    <row r="6" spans="1:8" x14ac:dyDescent="0.2">
      <c r="A6" s="6"/>
      <c r="B6" s="6"/>
      <c r="C6" s="9"/>
      <c r="D6" s="6" t="s">
        <v>661</v>
      </c>
      <c r="E6" s="6" t="s">
        <v>662</v>
      </c>
      <c r="F6" s="9">
        <v>18</v>
      </c>
    </row>
    <row r="7" spans="1:8" x14ac:dyDescent="0.2">
      <c r="A7" s="6"/>
      <c r="B7" s="6"/>
      <c r="C7" s="9"/>
      <c r="D7" s="6" t="s">
        <v>663</v>
      </c>
      <c r="E7" s="6" t="s">
        <v>290</v>
      </c>
      <c r="F7" s="9">
        <v>10</v>
      </c>
    </row>
    <row r="8" spans="1:8" x14ac:dyDescent="0.2">
      <c r="A8" s="6"/>
      <c r="B8" s="6"/>
      <c r="C8" s="9"/>
      <c r="D8" s="6" t="s">
        <v>516</v>
      </c>
      <c r="E8" s="6" t="s">
        <v>426</v>
      </c>
      <c r="F8" s="9">
        <v>8</v>
      </c>
    </row>
    <row r="9" spans="1:8" x14ac:dyDescent="0.2">
      <c r="A9" s="6"/>
      <c r="B9" s="6"/>
      <c r="C9" s="9"/>
      <c r="D9" s="6" t="s">
        <v>562</v>
      </c>
      <c r="E9" s="6" t="s">
        <v>563</v>
      </c>
      <c r="F9" s="9">
        <v>6</v>
      </c>
    </row>
    <row r="10" spans="1:8" x14ac:dyDescent="0.2">
      <c r="A10" s="6"/>
      <c r="B10" s="6"/>
      <c r="C10" s="9"/>
      <c r="D10" s="6" t="s">
        <v>565</v>
      </c>
      <c r="E10" s="6" t="s">
        <v>566</v>
      </c>
      <c r="F10" s="9">
        <v>4</v>
      </c>
    </row>
    <row r="11" spans="1:8" x14ac:dyDescent="0.2">
      <c r="A11" s="6"/>
      <c r="B11" s="6"/>
      <c r="C11" s="9"/>
      <c r="D11" s="6" t="s">
        <v>570</v>
      </c>
      <c r="E11" s="6" t="s">
        <v>285</v>
      </c>
      <c r="F11" s="9">
        <v>4</v>
      </c>
    </row>
    <row r="12" spans="1:8" x14ac:dyDescent="0.2">
      <c r="A12" s="6"/>
      <c r="B12" s="6"/>
      <c r="C12" s="9"/>
      <c r="D12" s="6" t="s">
        <v>564</v>
      </c>
      <c r="E12" s="6" t="s">
        <v>563</v>
      </c>
      <c r="F12" s="9">
        <v>3</v>
      </c>
    </row>
    <row r="13" spans="1:8" x14ac:dyDescent="0.2">
      <c r="A13" s="6"/>
      <c r="B13" s="6"/>
      <c r="C13" s="9"/>
      <c r="D13" s="6" t="s">
        <v>572</v>
      </c>
      <c r="E13" s="6" t="s">
        <v>552</v>
      </c>
      <c r="F13" s="9">
        <v>2</v>
      </c>
    </row>
    <row r="14" spans="1:8" x14ac:dyDescent="0.2">
      <c r="A14" s="6"/>
      <c r="B14" s="6"/>
      <c r="C14" s="9"/>
      <c r="D14" s="6" t="s">
        <v>573</v>
      </c>
      <c r="E14" s="6" t="s">
        <v>285</v>
      </c>
      <c r="F14" s="9">
        <v>2</v>
      </c>
    </row>
    <row r="16" spans="1:8" x14ac:dyDescent="0.2">
      <c r="A16" s="10" t="s">
        <v>209</v>
      </c>
      <c r="B16" s="11"/>
      <c r="C16" s="12">
        <f>SUM(C5:C14)</f>
        <v>10</v>
      </c>
      <c r="D16" s="11"/>
      <c r="E16" s="11"/>
      <c r="F16" s="12">
        <f>SUM(F5:F14)</f>
        <v>107</v>
      </c>
    </row>
    <row r="17" spans="1:6" x14ac:dyDescent="0.2">
      <c r="A17" s="2" t="s">
        <v>210</v>
      </c>
      <c r="B17" s="2"/>
      <c r="C17" s="2"/>
      <c r="D17" s="2"/>
      <c r="E17" s="2"/>
      <c r="F17" s="12">
        <f>F16-C16</f>
        <v>97</v>
      </c>
    </row>
  </sheetData>
  <mergeCells count="3">
    <mergeCell ref="A1:F1"/>
    <mergeCell ref="A2:F2"/>
    <mergeCell ref="A17:E17"/>
  </mergeCells>
  <hyperlinks>
    <hyperlink ref="H1" r:id="rId1" location="'Summary'!A1" xr:uid="{00000000-0004-0000-4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1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668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669</v>
      </c>
      <c r="B5" s="6" t="s">
        <v>203</v>
      </c>
      <c r="C5" s="9">
        <v>16</v>
      </c>
      <c r="D5" s="6" t="s">
        <v>670</v>
      </c>
      <c r="E5" s="6" t="s">
        <v>671</v>
      </c>
      <c r="F5" s="9">
        <v>32</v>
      </c>
    </row>
    <row r="6" spans="1:8" x14ac:dyDescent="0.2">
      <c r="A6" s="6" t="s">
        <v>672</v>
      </c>
      <c r="B6" s="6" t="s">
        <v>203</v>
      </c>
      <c r="C6" s="9">
        <v>16</v>
      </c>
      <c r="D6" s="6" t="s">
        <v>673</v>
      </c>
      <c r="E6" s="6" t="s">
        <v>671</v>
      </c>
      <c r="F6" s="9">
        <v>10</v>
      </c>
    </row>
    <row r="7" spans="1:8" x14ac:dyDescent="0.2">
      <c r="A7" s="6" t="s">
        <v>674</v>
      </c>
      <c r="B7" s="6" t="s">
        <v>203</v>
      </c>
      <c r="C7" s="9">
        <v>10</v>
      </c>
      <c r="D7" s="6" t="s">
        <v>652</v>
      </c>
      <c r="E7" s="6" t="s">
        <v>638</v>
      </c>
      <c r="F7" s="9">
        <v>3</v>
      </c>
    </row>
    <row r="9" spans="1:8" x14ac:dyDescent="0.2">
      <c r="A9" s="10" t="s">
        <v>209</v>
      </c>
      <c r="B9" s="11"/>
      <c r="C9" s="12">
        <f>SUM(C5:C7)</f>
        <v>42</v>
      </c>
      <c r="D9" s="11"/>
      <c r="E9" s="11"/>
      <c r="F9" s="12">
        <f>SUM(F5:F7)</f>
        <v>45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3</v>
      </c>
    </row>
  </sheetData>
  <mergeCells count="3">
    <mergeCell ref="A1:F1"/>
    <mergeCell ref="A2:F2"/>
    <mergeCell ref="A10:E10"/>
  </mergeCells>
  <hyperlinks>
    <hyperlink ref="H1" r:id="rId1" location="'Summary'!A1" xr:uid="{00000000-0004-0000-4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675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258</v>
      </c>
      <c r="B5" s="6" t="s">
        <v>226</v>
      </c>
      <c r="C5" s="9">
        <v>1</v>
      </c>
      <c r="D5" s="6" t="s">
        <v>249</v>
      </c>
      <c r="E5" s="6" t="s">
        <v>236</v>
      </c>
      <c r="F5" s="9">
        <v>1.85</v>
      </c>
    </row>
    <row r="6" spans="1:8" x14ac:dyDescent="0.2">
      <c r="A6" s="6" t="s">
        <v>260</v>
      </c>
      <c r="B6" s="6" t="s">
        <v>226</v>
      </c>
      <c r="C6" s="9">
        <v>1</v>
      </c>
      <c r="D6" s="6" t="s">
        <v>255</v>
      </c>
      <c r="E6" s="6" t="s">
        <v>236</v>
      </c>
      <c r="F6" s="9">
        <v>1.85</v>
      </c>
    </row>
    <row r="7" spans="1:8" x14ac:dyDescent="0.2">
      <c r="A7" s="6"/>
      <c r="B7" s="6"/>
      <c r="C7" s="9"/>
      <c r="D7" s="6" t="s">
        <v>259</v>
      </c>
      <c r="E7" s="6" t="s">
        <v>236</v>
      </c>
      <c r="F7" s="9">
        <v>1.21</v>
      </c>
    </row>
    <row r="8" spans="1:8" x14ac:dyDescent="0.2">
      <c r="A8" s="6"/>
      <c r="B8" s="6"/>
      <c r="C8" s="9"/>
      <c r="D8" s="6" t="s">
        <v>252</v>
      </c>
      <c r="E8" s="6" t="s">
        <v>236</v>
      </c>
      <c r="F8" s="9">
        <v>0.5</v>
      </c>
    </row>
    <row r="9" spans="1:8" x14ac:dyDescent="0.2">
      <c r="A9" s="6"/>
      <c r="B9" s="6"/>
      <c r="C9" s="9"/>
      <c r="D9" s="6" t="s">
        <v>257</v>
      </c>
      <c r="E9" s="6" t="s">
        <v>236</v>
      </c>
      <c r="F9" s="9">
        <v>0.5</v>
      </c>
    </row>
    <row r="11" spans="1:8" x14ac:dyDescent="0.2">
      <c r="A11" s="10" t="s">
        <v>209</v>
      </c>
      <c r="B11" s="11"/>
      <c r="C11" s="12">
        <f>SUM(C5:C9)</f>
        <v>2</v>
      </c>
      <c r="D11" s="11"/>
      <c r="E11" s="11"/>
      <c r="F11" s="12">
        <f>SUM(F5:F9)</f>
        <v>5.91</v>
      </c>
    </row>
    <row r="12" spans="1:8" x14ac:dyDescent="0.2">
      <c r="A12" s="2" t="s">
        <v>210</v>
      </c>
      <c r="B12" s="2"/>
      <c r="C12" s="2"/>
      <c r="D12" s="2"/>
      <c r="E12" s="2"/>
      <c r="F12" s="12">
        <f>F11-C11</f>
        <v>3.91</v>
      </c>
    </row>
  </sheetData>
  <mergeCells count="3">
    <mergeCell ref="A1:F1"/>
    <mergeCell ref="A2:F2"/>
    <mergeCell ref="A12:E12"/>
  </mergeCells>
  <hyperlinks>
    <hyperlink ref="H1" r:id="rId1" location="'Summary'!A1" xr:uid="{00000000-0004-0000-4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1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676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277</v>
      </c>
      <c r="B5" s="6" t="s">
        <v>275</v>
      </c>
      <c r="C5" s="9">
        <v>300</v>
      </c>
      <c r="D5" s="6" t="s">
        <v>474</v>
      </c>
      <c r="E5" s="6" t="s">
        <v>426</v>
      </c>
      <c r="F5" s="9">
        <v>1300</v>
      </c>
    </row>
    <row r="6" spans="1:8" x14ac:dyDescent="0.2">
      <c r="A6" s="6"/>
      <c r="B6" s="6"/>
      <c r="C6" s="9"/>
      <c r="D6" s="6" t="s">
        <v>677</v>
      </c>
      <c r="E6" s="6" t="s">
        <v>273</v>
      </c>
      <c r="F6" s="9">
        <v>390</v>
      </c>
    </row>
    <row r="7" spans="1:8" x14ac:dyDescent="0.2">
      <c r="A7" s="6"/>
      <c r="B7" s="6"/>
      <c r="C7" s="9"/>
      <c r="D7" s="6" t="s">
        <v>678</v>
      </c>
      <c r="E7" s="6" t="s">
        <v>374</v>
      </c>
      <c r="F7" s="9">
        <v>350</v>
      </c>
    </row>
    <row r="8" spans="1:8" x14ac:dyDescent="0.2">
      <c r="A8" s="6"/>
      <c r="B8" s="6"/>
      <c r="C8" s="9"/>
      <c r="D8" s="6" t="s">
        <v>425</v>
      </c>
      <c r="E8" s="6" t="s">
        <v>426</v>
      </c>
      <c r="F8" s="9">
        <v>100</v>
      </c>
    </row>
    <row r="9" spans="1:8" x14ac:dyDescent="0.2">
      <c r="A9" s="6"/>
      <c r="B9" s="6"/>
      <c r="C9" s="9"/>
      <c r="D9" s="6" t="s">
        <v>679</v>
      </c>
      <c r="E9" s="6" t="s">
        <v>273</v>
      </c>
      <c r="F9" s="9">
        <v>6</v>
      </c>
    </row>
    <row r="11" spans="1:8" x14ac:dyDescent="0.2">
      <c r="A11" s="10" t="s">
        <v>209</v>
      </c>
      <c r="B11" s="11"/>
      <c r="C11" s="12">
        <f>SUM(C5:C9)</f>
        <v>300</v>
      </c>
      <c r="D11" s="11"/>
      <c r="E11" s="11"/>
      <c r="F11" s="12">
        <f>SUM(F5:F9)</f>
        <v>2146</v>
      </c>
    </row>
    <row r="12" spans="1:8" x14ac:dyDescent="0.2">
      <c r="A12" s="2" t="s">
        <v>210</v>
      </c>
      <c r="B12" s="2"/>
      <c r="C12" s="2"/>
      <c r="D12" s="2"/>
      <c r="E12" s="2"/>
      <c r="F12" s="12">
        <f>F11-C11</f>
        <v>1846</v>
      </c>
    </row>
  </sheetData>
  <mergeCells count="3">
    <mergeCell ref="A1:F1"/>
    <mergeCell ref="A2:F2"/>
    <mergeCell ref="A12:E12"/>
  </mergeCells>
  <hyperlinks>
    <hyperlink ref="H1" r:id="rId1" location="'Summary'!A1" xr:uid="{00000000-0004-0000-4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24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680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681</v>
      </c>
      <c r="B5" s="6" t="s">
        <v>292</v>
      </c>
      <c r="C5" s="9">
        <v>2306</v>
      </c>
      <c r="D5" s="6" t="s">
        <v>682</v>
      </c>
      <c r="E5" s="6" t="s">
        <v>290</v>
      </c>
      <c r="F5" s="9">
        <v>2306</v>
      </c>
    </row>
    <row r="6" spans="1:8" x14ac:dyDescent="0.2">
      <c r="A6" s="6" t="s">
        <v>532</v>
      </c>
      <c r="B6" s="6" t="s">
        <v>292</v>
      </c>
      <c r="C6" s="9">
        <v>1200</v>
      </c>
      <c r="D6" s="6" t="s">
        <v>531</v>
      </c>
      <c r="E6" s="6" t="s">
        <v>290</v>
      </c>
      <c r="F6" s="9">
        <v>1200</v>
      </c>
    </row>
    <row r="7" spans="1:8" x14ac:dyDescent="0.2">
      <c r="A7" s="6" t="s">
        <v>683</v>
      </c>
      <c r="B7" s="6" t="s">
        <v>292</v>
      </c>
      <c r="C7" s="9">
        <v>1200</v>
      </c>
      <c r="D7" s="6" t="s">
        <v>684</v>
      </c>
      <c r="E7" s="6" t="s">
        <v>290</v>
      </c>
      <c r="F7" s="9">
        <v>1200</v>
      </c>
    </row>
    <row r="8" spans="1:8" x14ac:dyDescent="0.2">
      <c r="A8" s="6" t="s">
        <v>577</v>
      </c>
      <c r="B8" s="6" t="s">
        <v>578</v>
      </c>
      <c r="C8" s="9">
        <v>850</v>
      </c>
      <c r="D8" s="6" t="s">
        <v>685</v>
      </c>
      <c r="E8" s="6" t="s">
        <v>290</v>
      </c>
      <c r="F8" s="9">
        <v>653</v>
      </c>
    </row>
    <row r="9" spans="1:8" x14ac:dyDescent="0.2">
      <c r="A9" s="6" t="s">
        <v>269</v>
      </c>
      <c r="B9" s="6" t="s">
        <v>270</v>
      </c>
      <c r="C9" s="9">
        <v>800</v>
      </c>
      <c r="D9" s="6" t="s">
        <v>686</v>
      </c>
      <c r="E9" s="6" t="s">
        <v>265</v>
      </c>
      <c r="F9" s="9">
        <v>592</v>
      </c>
    </row>
    <row r="10" spans="1:8" x14ac:dyDescent="0.2">
      <c r="A10" s="6" t="s">
        <v>687</v>
      </c>
      <c r="B10" s="6" t="s">
        <v>292</v>
      </c>
      <c r="C10" s="9">
        <v>653</v>
      </c>
      <c r="D10" s="6" t="s">
        <v>541</v>
      </c>
      <c r="E10" s="6" t="s">
        <v>290</v>
      </c>
      <c r="F10" s="9">
        <v>500</v>
      </c>
    </row>
    <row r="11" spans="1:8" x14ac:dyDescent="0.2">
      <c r="A11" s="6" t="s">
        <v>540</v>
      </c>
      <c r="B11" s="6" t="s">
        <v>292</v>
      </c>
      <c r="C11" s="9">
        <v>500</v>
      </c>
      <c r="D11" s="6" t="s">
        <v>213</v>
      </c>
      <c r="E11" s="6" t="s">
        <v>214</v>
      </c>
      <c r="F11" s="9">
        <v>400</v>
      </c>
    </row>
    <row r="12" spans="1:8" x14ac:dyDescent="0.2">
      <c r="A12" s="6" t="s">
        <v>212</v>
      </c>
      <c r="B12" s="6" t="s">
        <v>203</v>
      </c>
      <c r="C12" s="9">
        <v>200</v>
      </c>
      <c r="D12" s="6" t="s">
        <v>688</v>
      </c>
      <c r="E12" s="6" t="s">
        <v>217</v>
      </c>
      <c r="F12" s="9">
        <v>400</v>
      </c>
    </row>
    <row r="13" spans="1:8" x14ac:dyDescent="0.2">
      <c r="A13" s="6" t="s">
        <v>218</v>
      </c>
      <c r="B13" s="6" t="s">
        <v>203</v>
      </c>
      <c r="C13" s="9">
        <v>200</v>
      </c>
      <c r="D13" s="6" t="s">
        <v>689</v>
      </c>
      <c r="E13" s="6" t="s">
        <v>338</v>
      </c>
      <c r="F13" s="9">
        <v>300</v>
      </c>
    </row>
    <row r="14" spans="1:8" x14ac:dyDescent="0.2">
      <c r="A14" s="6" t="s">
        <v>215</v>
      </c>
      <c r="B14" s="6" t="s">
        <v>203</v>
      </c>
      <c r="C14" s="9">
        <v>200</v>
      </c>
      <c r="D14" s="6" t="s">
        <v>690</v>
      </c>
      <c r="E14" s="6" t="s">
        <v>265</v>
      </c>
      <c r="F14" s="9">
        <v>250</v>
      </c>
    </row>
    <row r="15" spans="1:8" x14ac:dyDescent="0.2">
      <c r="A15" s="6" t="s">
        <v>480</v>
      </c>
      <c r="B15" s="6" t="s">
        <v>270</v>
      </c>
      <c r="C15" s="9">
        <v>100</v>
      </c>
      <c r="D15" s="6" t="s">
        <v>387</v>
      </c>
      <c r="E15" s="6" t="s">
        <v>379</v>
      </c>
      <c r="F15" s="9">
        <v>201</v>
      </c>
    </row>
    <row r="16" spans="1:8" x14ac:dyDescent="0.2">
      <c r="A16" s="6" t="s">
        <v>339</v>
      </c>
      <c r="B16" s="6" t="s">
        <v>340</v>
      </c>
      <c r="C16" s="9">
        <v>50</v>
      </c>
      <c r="D16" s="6" t="s">
        <v>691</v>
      </c>
      <c r="E16" s="6" t="s">
        <v>338</v>
      </c>
      <c r="F16" s="9">
        <v>200</v>
      </c>
    </row>
    <row r="17" spans="1:6" x14ac:dyDescent="0.2">
      <c r="A17" s="6" t="s">
        <v>353</v>
      </c>
      <c r="B17" s="6" t="s">
        <v>270</v>
      </c>
      <c r="C17" s="9">
        <v>30</v>
      </c>
      <c r="D17" s="6" t="s">
        <v>323</v>
      </c>
      <c r="E17" s="6" t="s">
        <v>217</v>
      </c>
      <c r="F17" s="9">
        <v>200</v>
      </c>
    </row>
    <row r="18" spans="1:6" x14ac:dyDescent="0.2">
      <c r="A18" s="6"/>
      <c r="B18" s="6"/>
      <c r="C18" s="9"/>
      <c r="D18" s="6" t="s">
        <v>398</v>
      </c>
      <c r="E18" s="6" t="s">
        <v>318</v>
      </c>
      <c r="F18" s="9">
        <v>100</v>
      </c>
    </row>
    <row r="19" spans="1:6" x14ac:dyDescent="0.2">
      <c r="A19" s="6"/>
      <c r="B19" s="6"/>
      <c r="C19" s="9"/>
      <c r="D19" s="6" t="s">
        <v>597</v>
      </c>
      <c r="E19" s="6" t="s">
        <v>318</v>
      </c>
      <c r="F19" s="9">
        <v>100</v>
      </c>
    </row>
    <row r="20" spans="1:6" x14ac:dyDescent="0.2">
      <c r="A20" s="6"/>
      <c r="B20" s="6"/>
      <c r="C20" s="9"/>
      <c r="D20" s="6" t="s">
        <v>357</v>
      </c>
      <c r="E20" s="6" t="s">
        <v>318</v>
      </c>
      <c r="F20" s="9">
        <v>50</v>
      </c>
    </row>
    <row r="21" spans="1:6" x14ac:dyDescent="0.2">
      <c r="A21" s="6"/>
      <c r="B21" s="6"/>
      <c r="C21" s="9"/>
      <c r="D21" s="6" t="s">
        <v>354</v>
      </c>
      <c r="E21" s="6" t="s">
        <v>265</v>
      </c>
      <c r="F21" s="9">
        <v>30</v>
      </c>
    </row>
    <row r="23" spans="1:6" x14ac:dyDescent="0.2">
      <c r="A23" s="10" t="s">
        <v>209</v>
      </c>
      <c r="B23" s="11"/>
      <c r="C23" s="12">
        <f>SUM(C5:C21)</f>
        <v>8289</v>
      </c>
      <c r="D23" s="11"/>
      <c r="E23" s="11"/>
      <c r="F23" s="12">
        <f>SUM(F5:F21)</f>
        <v>8682</v>
      </c>
    </row>
    <row r="24" spans="1:6" x14ac:dyDescent="0.2">
      <c r="A24" s="2" t="s">
        <v>210</v>
      </c>
      <c r="B24" s="2"/>
      <c r="C24" s="2"/>
      <c r="D24" s="2"/>
      <c r="E24" s="2"/>
      <c r="F24" s="12">
        <f>F23-C23</f>
        <v>393</v>
      </c>
    </row>
  </sheetData>
  <mergeCells count="3">
    <mergeCell ref="A1:F1"/>
    <mergeCell ref="A2:F2"/>
    <mergeCell ref="A24:E24"/>
  </mergeCells>
  <hyperlinks>
    <hyperlink ref="H1" r:id="rId1" location="'Summary'!A1" xr:uid="{00000000-0004-0000-4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692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/>
      <c r="E5" s="6"/>
      <c r="F5" s="9"/>
    </row>
    <row r="6" spans="1:8" x14ac:dyDescent="0.2">
      <c r="A6" s="1" t="s">
        <v>463</v>
      </c>
      <c r="B6" s="1"/>
      <c r="C6" s="1"/>
      <c r="D6" s="1"/>
      <c r="E6" s="1"/>
      <c r="F6" s="1"/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0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0</v>
      </c>
    </row>
  </sheetData>
  <mergeCells count="4">
    <mergeCell ref="A1:F1"/>
    <mergeCell ref="A2:F2"/>
    <mergeCell ref="A6:F6"/>
    <mergeCell ref="A9:E9"/>
  </mergeCells>
  <hyperlinks>
    <hyperlink ref="H1" r:id="rId1" location="'Summary'!A1" xr:uid="{00000000-0004-0000-4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693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694</v>
      </c>
      <c r="E5" s="6" t="s">
        <v>695</v>
      </c>
      <c r="F5" s="9">
        <v>15</v>
      </c>
    </row>
    <row r="6" spans="1:8" x14ac:dyDescent="0.2">
      <c r="A6" s="6"/>
      <c r="B6" s="6"/>
      <c r="C6" s="9"/>
      <c r="D6" s="6" t="s">
        <v>696</v>
      </c>
      <c r="E6" s="6" t="s">
        <v>695</v>
      </c>
      <c r="F6" s="9">
        <v>1</v>
      </c>
    </row>
    <row r="8" spans="1:8" x14ac:dyDescent="0.2">
      <c r="A8" s="10" t="s">
        <v>209</v>
      </c>
      <c r="B8" s="11"/>
      <c r="C8" s="12">
        <f>SUM(C5:C6)</f>
        <v>0</v>
      </c>
      <c r="D8" s="11"/>
      <c r="E8" s="11"/>
      <c r="F8" s="12">
        <f>SUM(F5:F6)</f>
        <v>16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16</v>
      </c>
    </row>
  </sheetData>
  <mergeCells count="3">
    <mergeCell ref="A1:F1"/>
    <mergeCell ref="A2:F2"/>
    <mergeCell ref="A9:E9"/>
  </mergeCells>
  <hyperlinks>
    <hyperlink ref="H1" r:id="rId1" location="'Summary'!A1" xr:uid="{00000000-0004-0000-4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9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697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508</v>
      </c>
      <c r="B5" s="6" t="s">
        <v>509</v>
      </c>
      <c r="C5" s="9">
        <v>200</v>
      </c>
      <c r="D5" s="6" t="s">
        <v>688</v>
      </c>
      <c r="E5" s="6" t="s">
        <v>217</v>
      </c>
      <c r="F5" s="9">
        <v>1200</v>
      </c>
    </row>
    <row r="6" spans="1:8" x14ac:dyDescent="0.2">
      <c r="A6" s="6" t="s">
        <v>698</v>
      </c>
      <c r="B6" s="6" t="s">
        <v>226</v>
      </c>
      <c r="C6" s="9">
        <v>100</v>
      </c>
      <c r="D6" s="6" t="s">
        <v>699</v>
      </c>
      <c r="E6" s="6" t="s">
        <v>268</v>
      </c>
      <c r="F6" s="9">
        <v>100</v>
      </c>
    </row>
    <row r="8" spans="1:8" x14ac:dyDescent="0.2">
      <c r="A8" s="10" t="s">
        <v>209</v>
      </c>
      <c r="B8" s="11"/>
      <c r="C8" s="12">
        <f>SUM(C5:C6)</f>
        <v>300</v>
      </c>
      <c r="D8" s="11"/>
      <c r="E8" s="11"/>
      <c r="F8" s="12">
        <f>SUM(F5:F6)</f>
        <v>1300</v>
      </c>
    </row>
    <row r="9" spans="1:8" x14ac:dyDescent="0.2">
      <c r="A9" s="2" t="s">
        <v>210</v>
      </c>
      <c r="B9" s="2"/>
      <c r="C9" s="2"/>
      <c r="D9" s="2"/>
      <c r="E9" s="2"/>
      <c r="F9" s="12">
        <f>F8-C8</f>
        <v>1000</v>
      </c>
    </row>
  </sheetData>
  <mergeCells count="3">
    <mergeCell ref="A1:F1"/>
    <mergeCell ref="A2:F2"/>
    <mergeCell ref="A9:E9"/>
  </mergeCells>
  <hyperlinks>
    <hyperlink ref="H1" r:id="rId1" location="'Summary'!A1" xr:uid="{00000000-0004-0000-4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3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700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269</v>
      </c>
      <c r="D5" s="6" t="s">
        <v>701</v>
      </c>
      <c r="E5" s="6" t="s">
        <v>285</v>
      </c>
      <c r="F5" s="9">
        <v>200</v>
      </c>
    </row>
    <row r="6" spans="1:8" x14ac:dyDescent="0.2">
      <c r="A6" s="6" t="s">
        <v>294</v>
      </c>
      <c r="B6" s="6" t="s">
        <v>270</v>
      </c>
      <c r="C6" s="9">
        <v>110</v>
      </c>
      <c r="D6" s="6" t="s">
        <v>702</v>
      </c>
      <c r="E6" s="6" t="s">
        <v>285</v>
      </c>
      <c r="F6" s="9">
        <v>180</v>
      </c>
    </row>
    <row r="7" spans="1:8" x14ac:dyDescent="0.2">
      <c r="A7" s="6" t="s">
        <v>437</v>
      </c>
      <c r="B7" s="6" t="s">
        <v>270</v>
      </c>
      <c r="C7" s="9">
        <v>110</v>
      </c>
      <c r="D7" s="6" t="s">
        <v>703</v>
      </c>
      <c r="E7" s="6" t="s">
        <v>374</v>
      </c>
      <c r="F7" s="9">
        <v>150</v>
      </c>
    </row>
    <row r="8" spans="1:8" x14ac:dyDescent="0.2">
      <c r="A8" s="6" t="s">
        <v>433</v>
      </c>
      <c r="B8" s="6" t="s">
        <v>270</v>
      </c>
      <c r="C8" s="9">
        <v>75</v>
      </c>
      <c r="D8" s="6" t="s">
        <v>704</v>
      </c>
      <c r="E8" s="6" t="s">
        <v>285</v>
      </c>
      <c r="F8" s="9">
        <v>118</v>
      </c>
    </row>
    <row r="9" spans="1:8" x14ac:dyDescent="0.2">
      <c r="A9" s="6" t="s">
        <v>508</v>
      </c>
      <c r="B9" s="6" t="s">
        <v>509</v>
      </c>
      <c r="C9" s="9">
        <v>55</v>
      </c>
      <c r="D9" s="6" t="s">
        <v>705</v>
      </c>
      <c r="E9" s="6" t="s">
        <v>285</v>
      </c>
      <c r="F9" s="9">
        <v>110</v>
      </c>
    </row>
    <row r="10" spans="1:8" x14ac:dyDescent="0.2">
      <c r="A10" s="6" t="s">
        <v>277</v>
      </c>
      <c r="B10" s="6" t="s">
        <v>275</v>
      </c>
      <c r="C10" s="9">
        <v>41</v>
      </c>
      <c r="D10" s="6" t="s">
        <v>706</v>
      </c>
      <c r="E10" s="6" t="s">
        <v>285</v>
      </c>
      <c r="F10" s="9">
        <v>55</v>
      </c>
    </row>
    <row r="11" spans="1:8" x14ac:dyDescent="0.2">
      <c r="A11" s="6" t="s">
        <v>336</v>
      </c>
      <c r="B11" s="6" t="s">
        <v>221</v>
      </c>
      <c r="C11" s="9">
        <v>40</v>
      </c>
      <c r="D11" s="6" t="s">
        <v>707</v>
      </c>
      <c r="E11" s="6" t="s">
        <v>338</v>
      </c>
      <c r="F11" s="9">
        <v>50</v>
      </c>
    </row>
    <row r="12" spans="1:8" x14ac:dyDescent="0.2">
      <c r="A12" s="6" t="s">
        <v>205</v>
      </c>
      <c r="B12" s="6" t="s">
        <v>203</v>
      </c>
      <c r="C12" s="9">
        <v>32</v>
      </c>
      <c r="D12" s="6" t="s">
        <v>708</v>
      </c>
      <c r="E12" s="6" t="s">
        <v>709</v>
      </c>
      <c r="F12" s="9">
        <v>40</v>
      </c>
    </row>
    <row r="13" spans="1:8" x14ac:dyDescent="0.2">
      <c r="A13" s="6" t="s">
        <v>710</v>
      </c>
      <c r="B13" s="6" t="s">
        <v>711</v>
      </c>
      <c r="C13" s="9">
        <v>30</v>
      </c>
      <c r="D13" s="6" t="s">
        <v>712</v>
      </c>
      <c r="E13" s="6" t="s">
        <v>713</v>
      </c>
      <c r="F13" s="9">
        <v>36</v>
      </c>
    </row>
    <row r="14" spans="1:8" x14ac:dyDescent="0.2">
      <c r="A14" s="6" t="s">
        <v>219</v>
      </c>
      <c r="B14" s="6" t="s">
        <v>203</v>
      </c>
      <c r="C14" s="9">
        <v>28</v>
      </c>
      <c r="D14" s="6" t="s">
        <v>714</v>
      </c>
      <c r="E14" s="6" t="s">
        <v>709</v>
      </c>
      <c r="F14" s="9">
        <v>35</v>
      </c>
    </row>
    <row r="15" spans="1:8" x14ac:dyDescent="0.2">
      <c r="A15" s="6" t="s">
        <v>512</v>
      </c>
      <c r="B15" s="6" t="s">
        <v>226</v>
      </c>
      <c r="C15" s="9">
        <v>10</v>
      </c>
      <c r="D15" s="6" t="s">
        <v>582</v>
      </c>
      <c r="E15" s="6" t="s">
        <v>285</v>
      </c>
      <c r="F15" s="9">
        <v>30</v>
      </c>
    </row>
    <row r="16" spans="1:8" x14ac:dyDescent="0.2">
      <c r="A16" s="6" t="s">
        <v>514</v>
      </c>
      <c r="B16" s="6" t="s">
        <v>226</v>
      </c>
      <c r="C16" s="9">
        <v>10</v>
      </c>
      <c r="D16" s="6" t="s">
        <v>715</v>
      </c>
      <c r="E16" s="6" t="s">
        <v>586</v>
      </c>
      <c r="F16" s="9">
        <v>30</v>
      </c>
    </row>
    <row r="17" spans="1:6" x14ac:dyDescent="0.2">
      <c r="A17" s="6" t="s">
        <v>475</v>
      </c>
      <c r="B17" s="6" t="s">
        <v>270</v>
      </c>
      <c r="C17" s="9">
        <v>5</v>
      </c>
      <c r="D17" s="6" t="s">
        <v>716</v>
      </c>
      <c r="E17" s="6" t="s">
        <v>717</v>
      </c>
      <c r="F17" s="9">
        <v>30</v>
      </c>
    </row>
    <row r="18" spans="1:6" x14ac:dyDescent="0.2">
      <c r="A18" s="6" t="s">
        <v>306</v>
      </c>
      <c r="B18" s="6" t="s">
        <v>270</v>
      </c>
      <c r="C18" s="9">
        <v>4</v>
      </c>
      <c r="D18" s="6" t="s">
        <v>718</v>
      </c>
      <c r="E18" s="6" t="s">
        <v>719</v>
      </c>
      <c r="F18" s="9">
        <v>11</v>
      </c>
    </row>
    <row r="19" spans="1:6" x14ac:dyDescent="0.2">
      <c r="A19" s="6" t="s">
        <v>282</v>
      </c>
      <c r="B19" s="6" t="s">
        <v>283</v>
      </c>
      <c r="C19" s="9">
        <v>2</v>
      </c>
      <c r="D19" s="6" t="s">
        <v>720</v>
      </c>
      <c r="E19" s="6" t="s">
        <v>586</v>
      </c>
      <c r="F19" s="9">
        <v>10</v>
      </c>
    </row>
    <row r="20" spans="1:6" x14ac:dyDescent="0.2">
      <c r="A20" s="6" t="s">
        <v>721</v>
      </c>
      <c r="B20" s="6" t="s">
        <v>344</v>
      </c>
      <c r="C20" s="9">
        <v>1</v>
      </c>
      <c r="D20" s="6" t="s">
        <v>722</v>
      </c>
      <c r="E20" s="6" t="s">
        <v>580</v>
      </c>
      <c r="F20" s="9">
        <v>8</v>
      </c>
    </row>
    <row r="21" spans="1:6" x14ac:dyDescent="0.2">
      <c r="A21" s="6"/>
      <c r="B21" s="6"/>
      <c r="C21" s="9"/>
      <c r="D21" s="6" t="s">
        <v>723</v>
      </c>
      <c r="E21" s="6" t="s">
        <v>709</v>
      </c>
      <c r="F21" s="9">
        <v>5</v>
      </c>
    </row>
    <row r="22" spans="1:6" x14ac:dyDescent="0.2">
      <c r="A22" s="6"/>
      <c r="B22" s="6"/>
      <c r="C22" s="9"/>
      <c r="D22" s="6" t="s">
        <v>724</v>
      </c>
      <c r="E22" s="6" t="s">
        <v>207</v>
      </c>
      <c r="F22" s="9">
        <v>5</v>
      </c>
    </row>
    <row r="23" spans="1:6" x14ac:dyDescent="0.2">
      <c r="A23" s="6"/>
      <c r="B23" s="6"/>
      <c r="C23" s="9"/>
      <c r="D23" s="6" t="s">
        <v>589</v>
      </c>
      <c r="E23" s="6" t="s">
        <v>586</v>
      </c>
      <c r="F23" s="9">
        <v>5</v>
      </c>
    </row>
    <row r="24" spans="1:6" x14ac:dyDescent="0.2">
      <c r="A24" s="6"/>
      <c r="B24" s="6"/>
      <c r="C24" s="9"/>
      <c r="D24" s="6" t="s">
        <v>725</v>
      </c>
      <c r="E24" s="6" t="s">
        <v>709</v>
      </c>
      <c r="F24" s="9">
        <v>4</v>
      </c>
    </row>
    <row r="25" spans="1:6" x14ac:dyDescent="0.2">
      <c r="A25" s="6"/>
      <c r="B25" s="6"/>
      <c r="C25" s="9"/>
      <c r="D25" s="6" t="s">
        <v>726</v>
      </c>
      <c r="E25" s="6" t="s">
        <v>586</v>
      </c>
      <c r="F25" s="9">
        <v>4</v>
      </c>
    </row>
    <row r="26" spans="1:6" x14ac:dyDescent="0.2">
      <c r="A26" s="6"/>
      <c r="B26" s="6"/>
      <c r="C26" s="9"/>
      <c r="D26" s="6" t="s">
        <v>727</v>
      </c>
      <c r="E26" s="6" t="s">
        <v>338</v>
      </c>
      <c r="F26" s="9">
        <v>3</v>
      </c>
    </row>
    <row r="27" spans="1:6" x14ac:dyDescent="0.2">
      <c r="A27" s="6"/>
      <c r="B27" s="6"/>
      <c r="C27" s="9"/>
      <c r="D27" s="6" t="s">
        <v>455</v>
      </c>
      <c r="E27" s="6" t="s">
        <v>338</v>
      </c>
      <c r="F27" s="9">
        <v>2</v>
      </c>
    </row>
    <row r="28" spans="1:6" x14ac:dyDescent="0.2">
      <c r="A28" s="6"/>
      <c r="B28" s="6"/>
      <c r="C28" s="9"/>
      <c r="D28" s="6" t="s">
        <v>585</v>
      </c>
      <c r="E28" s="6" t="s">
        <v>586</v>
      </c>
      <c r="F28" s="9">
        <v>2</v>
      </c>
    </row>
    <row r="29" spans="1:6" x14ac:dyDescent="0.2">
      <c r="A29" s="6"/>
      <c r="B29" s="6"/>
      <c r="C29" s="9"/>
      <c r="D29" s="6" t="s">
        <v>728</v>
      </c>
      <c r="E29" s="6" t="s">
        <v>338</v>
      </c>
      <c r="F29" s="9">
        <v>1</v>
      </c>
    </row>
    <row r="30" spans="1:6" x14ac:dyDescent="0.2">
      <c r="A30" s="6"/>
      <c r="B30" s="6"/>
      <c r="C30" s="9"/>
      <c r="D30" s="6" t="s">
        <v>729</v>
      </c>
      <c r="E30" s="6" t="s">
        <v>580</v>
      </c>
      <c r="F30" s="9">
        <v>1</v>
      </c>
    </row>
    <row r="32" spans="1:6" x14ac:dyDescent="0.2">
      <c r="A32" s="10" t="s">
        <v>209</v>
      </c>
      <c r="B32" s="11"/>
      <c r="C32" s="12">
        <f>SUM(C5:C30)</f>
        <v>822</v>
      </c>
      <c r="D32" s="11"/>
      <c r="E32" s="11"/>
      <c r="F32" s="12">
        <f>SUM(F5:F30)</f>
        <v>1125</v>
      </c>
    </row>
    <row r="33" spans="1:6" x14ac:dyDescent="0.2">
      <c r="A33" s="2" t="s">
        <v>210</v>
      </c>
      <c r="B33" s="2"/>
      <c r="C33" s="2"/>
      <c r="D33" s="2"/>
      <c r="E33" s="2"/>
      <c r="F33" s="12">
        <f>F32-C32</f>
        <v>303</v>
      </c>
    </row>
  </sheetData>
  <mergeCells count="3">
    <mergeCell ref="A1:F1"/>
    <mergeCell ref="A2:F2"/>
    <mergeCell ref="A33:E33"/>
  </mergeCells>
  <hyperlinks>
    <hyperlink ref="H1" r:id="rId1" location="'Summary'!A1" xr:uid="{00000000-0004-0000-4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1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730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658</v>
      </c>
      <c r="B5" s="6" t="s">
        <v>292</v>
      </c>
      <c r="C5" s="9">
        <v>5</v>
      </c>
      <c r="D5" s="6" t="s">
        <v>551</v>
      </c>
      <c r="E5" s="6" t="s">
        <v>552</v>
      </c>
      <c r="F5" s="9">
        <v>25</v>
      </c>
    </row>
    <row r="6" spans="1:8" x14ac:dyDescent="0.2">
      <c r="A6" s="6"/>
      <c r="B6" s="6"/>
      <c r="C6" s="9"/>
      <c r="D6" s="6" t="s">
        <v>562</v>
      </c>
      <c r="E6" s="6" t="s">
        <v>563</v>
      </c>
      <c r="F6" s="9">
        <v>10</v>
      </c>
    </row>
    <row r="7" spans="1:8" x14ac:dyDescent="0.2">
      <c r="A7" s="6"/>
      <c r="B7" s="6"/>
      <c r="C7" s="9"/>
      <c r="D7" s="6" t="s">
        <v>661</v>
      </c>
      <c r="E7" s="6" t="s">
        <v>662</v>
      </c>
      <c r="F7" s="9">
        <v>9</v>
      </c>
    </row>
    <row r="8" spans="1:8" x14ac:dyDescent="0.2">
      <c r="A8" s="6"/>
      <c r="B8" s="6"/>
      <c r="C8" s="9"/>
      <c r="D8" s="6" t="s">
        <v>663</v>
      </c>
      <c r="E8" s="6" t="s">
        <v>290</v>
      </c>
      <c r="F8" s="9">
        <v>5</v>
      </c>
    </row>
    <row r="9" spans="1:8" x14ac:dyDescent="0.2">
      <c r="A9" s="6"/>
      <c r="B9" s="6"/>
      <c r="C9" s="9"/>
      <c r="D9" s="6" t="s">
        <v>565</v>
      </c>
      <c r="E9" s="6" t="s">
        <v>566</v>
      </c>
      <c r="F9" s="9">
        <v>2</v>
      </c>
    </row>
    <row r="10" spans="1:8" x14ac:dyDescent="0.2">
      <c r="A10" s="6"/>
      <c r="B10" s="6"/>
      <c r="C10" s="9"/>
      <c r="D10" s="6" t="s">
        <v>568</v>
      </c>
      <c r="E10" s="6" t="s">
        <v>285</v>
      </c>
      <c r="F10" s="9">
        <v>2</v>
      </c>
    </row>
    <row r="11" spans="1:8" x14ac:dyDescent="0.2">
      <c r="A11" s="6"/>
      <c r="B11" s="6"/>
      <c r="C11" s="9"/>
      <c r="D11" s="6" t="s">
        <v>570</v>
      </c>
      <c r="E11" s="6" t="s">
        <v>285</v>
      </c>
      <c r="F11" s="9">
        <v>2</v>
      </c>
    </row>
    <row r="12" spans="1:8" x14ac:dyDescent="0.2">
      <c r="A12" s="6"/>
      <c r="B12" s="6"/>
      <c r="C12" s="9"/>
      <c r="D12" s="6" t="s">
        <v>731</v>
      </c>
      <c r="E12" s="6" t="s">
        <v>732</v>
      </c>
      <c r="F12" s="9">
        <v>1</v>
      </c>
    </row>
    <row r="13" spans="1:8" x14ac:dyDescent="0.2">
      <c r="A13" s="6"/>
      <c r="B13" s="6"/>
      <c r="C13" s="9"/>
      <c r="D13" s="6" t="s">
        <v>572</v>
      </c>
      <c r="E13" s="6" t="s">
        <v>552</v>
      </c>
      <c r="F13" s="9">
        <v>1</v>
      </c>
    </row>
    <row r="14" spans="1:8" x14ac:dyDescent="0.2">
      <c r="A14" s="6"/>
      <c r="B14" s="6"/>
      <c r="C14" s="9"/>
      <c r="D14" s="6" t="s">
        <v>573</v>
      </c>
      <c r="E14" s="6" t="s">
        <v>285</v>
      </c>
      <c r="F14" s="9">
        <v>1</v>
      </c>
    </row>
    <row r="16" spans="1:8" x14ac:dyDescent="0.2">
      <c r="A16" s="10" t="s">
        <v>209</v>
      </c>
      <c r="B16" s="11"/>
      <c r="C16" s="12">
        <f>SUM(C5:C14)</f>
        <v>5</v>
      </c>
      <c r="D16" s="11"/>
      <c r="E16" s="11"/>
      <c r="F16" s="12">
        <f>SUM(F5:F14)</f>
        <v>58</v>
      </c>
    </row>
    <row r="17" spans="1:6" x14ac:dyDescent="0.2">
      <c r="A17" s="2" t="s">
        <v>210</v>
      </c>
      <c r="B17" s="2"/>
      <c r="C17" s="2"/>
      <c r="D17" s="2"/>
      <c r="E17" s="2"/>
      <c r="F17" s="12">
        <f>F16-C16</f>
        <v>53</v>
      </c>
    </row>
  </sheetData>
  <mergeCells count="3">
    <mergeCell ref="A1:F1"/>
    <mergeCell ref="A2:F2"/>
    <mergeCell ref="A17:E17"/>
  </mergeCells>
  <hyperlinks>
    <hyperlink ref="H1" r:id="rId1" location="'Summary'!A1" xr:uid="{00000000-0004-0000-4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733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482</v>
      </c>
      <c r="B5" s="6" t="s">
        <v>275</v>
      </c>
      <c r="C5" s="9">
        <v>500</v>
      </c>
      <c r="D5" s="6" t="s">
        <v>483</v>
      </c>
      <c r="E5" s="6" t="s">
        <v>214</v>
      </c>
      <c r="F5" s="9">
        <v>500</v>
      </c>
    </row>
    <row r="6" spans="1:8" x14ac:dyDescent="0.2">
      <c r="A6" s="6" t="s">
        <v>262</v>
      </c>
      <c r="B6" s="6" t="s">
        <v>263</v>
      </c>
      <c r="C6" s="9">
        <v>250</v>
      </c>
      <c r="D6" s="6" t="s">
        <v>264</v>
      </c>
      <c r="E6" s="6" t="s">
        <v>265</v>
      </c>
      <c r="F6" s="9">
        <v>250</v>
      </c>
    </row>
    <row r="7" spans="1:8" x14ac:dyDescent="0.2">
      <c r="A7" s="6" t="s">
        <v>269</v>
      </c>
      <c r="B7" s="6" t="s">
        <v>270</v>
      </c>
      <c r="C7" s="9">
        <v>100</v>
      </c>
      <c r="D7" s="6" t="s">
        <v>479</v>
      </c>
      <c r="E7" s="6" t="s">
        <v>392</v>
      </c>
      <c r="F7" s="9">
        <v>188</v>
      </c>
    </row>
    <row r="8" spans="1:8" x14ac:dyDescent="0.2">
      <c r="A8" s="6"/>
      <c r="B8" s="6"/>
      <c r="C8" s="9"/>
      <c r="D8" s="6" t="s">
        <v>734</v>
      </c>
      <c r="E8" s="6" t="s">
        <v>265</v>
      </c>
      <c r="F8" s="9">
        <v>100</v>
      </c>
    </row>
    <row r="10" spans="1:8" x14ac:dyDescent="0.2">
      <c r="A10" s="10" t="s">
        <v>209</v>
      </c>
      <c r="B10" s="11"/>
      <c r="C10" s="12">
        <f>SUM(C5:C8)</f>
        <v>850</v>
      </c>
      <c r="D10" s="11"/>
      <c r="E10" s="11"/>
      <c r="F10" s="12">
        <f>SUM(F5:F8)</f>
        <v>1038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188</v>
      </c>
    </row>
  </sheetData>
  <mergeCells count="3">
    <mergeCell ref="A1:F1"/>
    <mergeCell ref="A2:F2"/>
    <mergeCell ref="A11:E11"/>
  </mergeCells>
  <hyperlinks>
    <hyperlink ref="H1" r:id="rId1" location="'Summary'!A1" xr:uid="{00000000-0004-0000-4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1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735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482</v>
      </c>
      <c r="B5" s="6" t="s">
        <v>275</v>
      </c>
      <c r="C5" s="9">
        <v>800</v>
      </c>
      <c r="D5" s="6" t="s">
        <v>483</v>
      </c>
      <c r="E5" s="6" t="s">
        <v>214</v>
      </c>
      <c r="F5" s="9">
        <v>800</v>
      </c>
    </row>
    <row r="6" spans="1:8" x14ac:dyDescent="0.2">
      <c r="A6" s="6" t="s">
        <v>269</v>
      </c>
      <c r="B6" s="6" t="s">
        <v>270</v>
      </c>
      <c r="C6" s="9">
        <v>285</v>
      </c>
      <c r="D6" s="6" t="s">
        <v>398</v>
      </c>
      <c r="E6" s="6" t="s">
        <v>318</v>
      </c>
      <c r="F6" s="9">
        <v>285</v>
      </c>
    </row>
    <row r="7" spans="1:8" x14ac:dyDescent="0.2">
      <c r="A7" s="6" t="s">
        <v>736</v>
      </c>
      <c r="B7" s="6" t="s">
        <v>283</v>
      </c>
      <c r="C7" s="9">
        <v>20</v>
      </c>
      <c r="D7" s="6" t="s">
        <v>479</v>
      </c>
      <c r="E7" s="6" t="s">
        <v>392</v>
      </c>
      <c r="F7" s="9">
        <v>138</v>
      </c>
    </row>
    <row r="8" spans="1:8" x14ac:dyDescent="0.2">
      <c r="A8" s="6" t="s">
        <v>737</v>
      </c>
      <c r="B8" s="6" t="s">
        <v>283</v>
      </c>
      <c r="C8" s="9">
        <v>20</v>
      </c>
      <c r="D8" s="6" t="s">
        <v>738</v>
      </c>
      <c r="E8" s="6" t="s">
        <v>347</v>
      </c>
      <c r="F8" s="9">
        <v>20</v>
      </c>
    </row>
    <row r="10" spans="1:8" x14ac:dyDescent="0.2">
      <c r="A10" s="10" t="s">
        <v>209</v>
      </c>
      <c r="B10" s="11"/>
      <c r="C10" s="12">
        <f>SUM(C5:C8)</f>
        <v>1125</v>
      </c>
      <c r="D10" s="11"/>
      <c r="E10" s="11"/>
      <c r="F10" s="12">
        <f>SUM(F5:F8)</f>
        <v>1243</v>
      </c>
    </row>
    <row r="11" spans="1:8" x14ac:dyDescent="0.2">
      <c r="A11" s="2" t="s">
        <v>210</v>
      </c>
      <c r="B11" s="2"/>
      <c r="C11" s="2"/>
      <c r="D11" s="2"/>
      <c r="E11" s="2"/>
      <c r="F11" s="12">
        <f>F10-C10</f>
        <v>118</v>
      </c>
    </row>
  </sheetData>
  <mergeCells count="3">
    <mergeCell ref="A1:F1"/>
    <mergeCell ref="A2:F2"/>
    <mergeCell ref="A11:E11"/>
  </mergeCells>
  <hyperlinks>
    <hyperlink ref="H1" r:id="rId1" location="'Summary'!A1" xr:uid="{00000000-0004-0000-5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3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739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740</v>
      </c>
      <c r="B5" s="6" t="s">
        <v>238</v>
      </c>
      <c r="C5" s="9">
        <v>315.89999999999998</v>
      </c>
      <c r="D5" s="6" t="s">
        <v>741</v>
      </c>
      <c r="E5" s="6" t="s">
        <v>201</v>
      </c>
      <c r="F5" s="9">
        <v>315.89999999999998</v>
      </c>
    </row>
    <row r="6" spans="1:8" x14ac:dyDescent="0.2">
      <c r="A6" s="6" t="s">
        <v>742</v>
      </c>
      <c r="B6" s="6" t="s">
        <v>238</v>
      </c>
      <c r="C6" s="9">
        <v>175.5</v>
      </c>
      <c r="D6" s="6" t="s">
        <v>617</v>
      </c>
      <c r="E6" s="6" t="s">
        <v>201</v>
      </c>
      <c r="F6" s="9">
        <v>156.77000000000001</v>
      </c>
    </row>
    <row r="7" spans="1:8" x14ac:dyDescent="0.2">
      <c r="A7" s="6" t="s">
        <v>608</v>
      </c>
      <c r="B7" s="6" t="s">
        <v>503</v>
      </c>
      <c r="C7" s="9">
        <v>166.81</v>
      </c>
      <c r="D7" s="6" t="s">
        <v>743</v>
      </c>
      <c r="E7" s="6" t="s">
        <v>201</v>
      </c>
      <c r="F7" s="9">
        <v>100</v>
      </c>
    </row>
    <row r="8" spans="1:8" x14ac:dyDescent="0.2">
      <c r="A8" s="6" t="s">
        <v>250</v>
      </c>
      <c r="B8" s="6" t="s">
        <v>199</v>
      </c>
      <c r="C8" s="9">
        <v>95.36</v>
      </c>
      <c r="D8" s="6" t="s">
        <v>744</v>
      </c>
      <c r="E8" s="6" t="s">
        <v>201</v>
      </c>
      <c r="F8" s="9">
        <v>95</v>
      </c>
    </row>
    <row r="9" spans="1:8" x14ac:dyDescent="0.2">
      <c r="A9" s="6" t="s">
        <v>605</v>
      </c>
      <c r="B9" s="6" t="s">
        <v>234</v>
      </c>
      <c r="C9" s="9">
        <v>52.4</v>
      </c>
      <c r="D9" s="6" t="s">
        <v>745</v>
      </c>
      <c r="E9" s="6" t="s">
        <v>201</v>
      </c>
      <c r="F9" s="9">
        <v>75</v>
      </c>
    </row>
    <row r="10" spans="1:8" x14ac:dyDescent="0.2">
      <c r="A10" s="6" t="s">
        <v>240</v>
      </c>
      <c r="B10" s="6" t="s">
        <v>241</v>
      </c>
      <c r="C10" s="9">
        <v>15.537000000000001</v>
      </c>
      <c r="D10" s="6" t="s">
        <v>606</v>
      </c>
      <c r="E10" s="6" t="s">
        <v>201</v>
      </c>
      <c r="F10" s="9">
        <v>52.4</v>
      </c>
    </row>
    <row r="11" spans="1:8" x14ac:dyDescent="0.2">
      <c r="A11" s="6" t="s">
        <v>253</v>
      </c>
      <c r="B11" s="6" t="s">
        <v>254</v>
      </c>
      <c r="C11" s="9">
        <v>14.71</v>
      </c>
      <c r="D11" s="6" t="s">
        <v>607</v>
      </c>
      <c r="E11" s="6" t="s">
        <v>201</v>
      </c>
      <c r="F11" s="9">
        <v>14.86</v>
      </c>
    </row>
    <row r="12" spans="1:8" x14ac:dyDescent="0.2">
      <c r="A12" s="6" t="s">
        <v>258</v>
      </c>
      <c r="B12" s="6" t="s">
        <v>226</v>
      </c>
      <c r="C12" s="9">
        <v>8.5399999999999991</v>
      </c>
      <c r="D12" s="6" t="s">
        <v>610</v>
      </c>
      <c r="E12" s="6" t="s">
        <v>201</v>
      </c>
      <c r="F12" s="9">
        <v>12.45</v>
      </c>
    </row>
    <row r="13" spans="1:8" x14ac:dyDescent="0.2">
      <c r="A13" s="6" t="s">
        <v>611</v>
      </c>
      <c r="B13" s="6" t="s">
        <v>612</v>
      </c>
      <c r="C13" s="9">
        <v>5.35</v>
      </c>
      <c r="D13" s="6" t="s">
        <v>363</v>
      </c>
      <c r="E13" s="6" t="s">
        <v>201</v>
      </c>
      <c r="F13" s="9">
        <v>8.99</v>
      </c>
    </row>
    <row r="14" spans="1:8" x14ac:dyDescent="0.2">
      <c r="A14" s="6" t="s">
        <v>256</v>
      </c>
      <c r="B14" s="6" t="s">
        <v>254</v>
      </c>
      <c r="C14" s="9">
        <v>2.0499999999999998</v>
      </c>
      <c r="D14" s="6" t="s">
        <v>465</v>
      </c>
      <c r="E14" s="6" t="s">
        <v>201</v>
      </c>
      <c r="F14" s="9">
        <v>8.5399999999999991</v>
      </c>
    </row>
    <row r="15" spans="1:8" x14ac:dyDescent="0.2">
      <c r="A15" s="6" t="s">
        <v>614</v>
      </c>
      <c r="B15" s="6" t="s">
        <v>234</v>
      </c>
      <c r="C15" s="9">
        <v>1.42</v>
      </c>
      <c r="D15" s="6" t="s">
        <v>609</v>
      </c>
      <c r="E15" s="6" t="s">
        <v>201</v>
      </c>
      <c r="F15" s="9">
        <v>7.32</v>
      </c>
    </row>
    <row r="16" spans="1:8" x14ac:dyDescent="0.2">
      <c r="A16" s="6" t="s">
        <v>243</v>
      </c>
      <c r="B16" s="6" t="s">
        <v>244</v>
      </c>
      <c r="C16" s="9">
        <v>1</v>
      </c>
      <c r="D16" s="6" t="s">
        <v>247</v>
      </c>
      <c r="E16" s="6" t="s">
        <v>236</v>
      </c>
      <c r="F16" s="9">
        <v>4</v>
      </c>
    </row>
    <row r="17" spans="1:6" x14ac:dyDescent="0.2">
      <c r="A17" s="6" t="s">
        <v>246</v>
      </c>
      <c r="B17" s="6" t="s">
        <v>244</v>
      </c>
      <c r="C17" s="9">
        <v>1</v>
      </c>
      <c r="D17" s="6" t="s">
        <v>746</v>
      </c>
      <c r="E17" s="6" t="s">
        <v>201</v>
      </c>
      <c r="F17" s="9">
        <v>3.05</v>
      </c>
    </row>
    <row r="18" spans="1:6" x14ac:dyDescent="0.2">
      <c r="A18" s="6" t="s">
        <v>747</v>
      </c>
      <c r="B18" s="6" t="s">
        <v>241</v>
      </c>
      <c r="C18" s="9">
        <v>0.46300000000000002</v>
      </c>
      <c r="D18" s="6" t="s">
        <v>748</v>
      </c>
      <c r="E18" s="6" t="s">
        <v>201</v>
      </c>
      <c r="F18" s="9">
        <v>3.05</v>
      </c>
    </row>
    <row r="19" spans="1:6" x14ac:dyDescent="0.2">
      <c r="A19" s="6"/>
      <c r="B19" s="6"/>
      <c r="C19" s="9"/>
      <c r="D19" s="6" t="s">
        <v>749</v>
      </c>
      <c r="E19" s="6" t="s">
        <v>201</v>
      </c>
      <c r="F19" s="9">
        <v>3.05</v>
      </c>
    </row>
    <row r="20" spans="1:6" x14ac:dyDescent="0.2">
      <c r="A20" s="6"/>
      <c r="B20" s="6"/>
      <c r="C20" s="9"/>
      <c r="D20" s="6" t="s">
        <v>750</v>
      </c>
      <c r="E20" s="6" t="s">
        <v>236</v>
      </c>
      <c r="F20" s="9">
        <v>3</v>
      </c>
    </row>
    <row r="21" spans="1:6" x14ac:dyDescent="0.2">
      <c r="A21" s="6"/>
      <c r="B21" s="6"/>
      <c r="C21" s="9"/>
      <c r="D21" s="6" t="s">
        <v>613</v>
      </c>
      <c r="E21" s="6" t="s">
        <v>201</v>
      </c>
      <c r="F21" s="9">
        <v>3</v>
      </c>
    </row>
    <row r="22" spans="1:6" x14ac:dyDescent="0.2">
      <c r="A22" s="6"/>
      <c r="B22" s="6"/>
      <c r="C22" s="9"/>
      <c r="D22" s="6" t="s">
        <v>751</v>
      </c>
      <c r="E22" s="6" t="s">
        <v>201</v>
      </c>
      <c r="F22" s="9">
        <v>2.54</v>
      </c>
    </row>
    <row r="23" spans="1:6" x14ac:dyDescent="0.2">
      <c r="A23" s="6"/>
      <c r="B23" s="6"/>
      <c r="C23" s="9"/>
      <c r="D23" s="6" t="s">
        <v>615</v>
      </c>
      <c r="E23" s="6" t="s">
        <v>201</v>
      </c>
      <c r="F23" s="9">
        <v>1.68</v>
      </c>
    </row>
    <row r="24" spans="1:6" x14ac:dyDescent="0.2">
      <c r="A24" s="6"/>
      <c r="B24" s="6"/>
      <c r="C24" s="9"/>
      <c r="D24" s="6" t="s">
        <v>752</v>
      </c>
      <c r="E24" s="6" t="s">
        <v>201</v>
      </c>
      <c r="F24" s="9">
        <v>1.55</v>
      </c>
    </row>
    <row r="25" spans="1:6" x14ac:dyDescent="0.2">
      <c r="A25" s="6"/>
      <c r="B25" s="6"/>
      <c r="C25" s="9"/>
      <c r="D25" s="6" t="s">
        <v>616</v>
      </c>
      <c r="E25" s="6" t="s">
        <v>201</v>
      </c>
      <c r="F25" s="9">
        <v>1.42</v>
      </c>
    </row>
    <row r="26" spans="1:6" x14ac:dyDescent="0.2">
      <c r="A26" s="6"/>
      <c r="B26" s="6"/>
      <c r="C26" s="9"/>
      <c r="D26" s="6" t="s">
        <v>245</v>
      </c>
      <c r="E26" s="6" t="s">
        <v>201</v>
      </c>
      <c r="F26" s="9">
        <v>1.1200000000000001</v>
      </c>
    </row>
    <row r="27" spans="1:6" x14ac:dyDescent="0.2">
      <c r="A27" s="6"/>
      <c r="B27" s="6"/>
      <c r="C27" s="9"/>
      <c r="D27" s="6" t="s">
        <v>619</v>
      </c>
      <c r="E27" s="6" t="s">
        <v>201</v>
      </c>
      <c r="F27" s="9">
        <v>1.1200000000000001</v>
      </c>
    </row>
    <row r="28" spans="1:6" x14ac:dyDescent="0.2">
      <c r="A28" s="6"/>
      <c r="B28" s="6"/>
      <c r="C28" s="9"/>
      <c r="D28" s="6" t="s">
        <v>618</v>
      </c>
      <c r="E28" s="6" t="s">
        <v>201</v>
      </c>
      <c r="F28" s="9">
        <v>0.84</v>
      </c>
    </row>
    <row r="29" spans="1:6" x14ac:dyDescent="0.2">
      <c r="A29" s="6"/>
      <c r="B29" s="6"/>
      <c r="C29" s="9"/>
      <c r="D29" s="6" t="s">
        <v>251</v>
      </c>
      <c r="E29" s="6" t="s">
        <v>236</v>
      </c>
      <c r="F29" s="9">
        <v>0.31</v>
      </c>
    </row>
    <row r="31" spans="1:6" x14ac:dyDescent="0.2">
      <c r="A31" s="10" t="s">
        <v>209</v>
      </c>
      <c r="B31" s="11"/>
      <c r="C31" s="12">
        <f>SUM(C5:C29)</f>
        <v>856.04</v>
      </c>
      <c r="D31" s="11"/>
      <c r="E31" s="11"/>
      <c r="F31" s="12">
        <f>SUM(F5:F29)</f>
        <v>876.9599999999997</v>
      </c>
    </row>
    <row r="32" spans="1:6" x14ac:dyDescent="0.2">
      <c r="A32" s="2" t="s">
        <v>210</v>
      </c>
      <c r="B32" s="2"/>
      <c r="C32" s="2"/>
      <c r="D32" s="2"/>
      <c r="E32" s="2"/>
      <c r="F32" s="12">
        <f>F31-C31</f>
        <v>20.919999999999732</v>
      </c>
    </row>
  </sheetData>
  <mergeCells count="3">
    <mergeCell ref="A1:F1"/>
    <mergeCell ref="A2:F2"/>
    <mergeCell ref="A32:E32"/>
  </mergeCells>
  <hyperlinks>
    <hyperlink ref="H1" r:id="rId1" location="'Summary'!A1" xr:uid="{00000000-0004-0000-5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1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753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240</v>
      </c>
      <c r="B5" s="6" t="s">
        <v>241</v>
      </c>
      <c r="C5" s="9">
        <v>4</v>
      </c>
      <c r="D5" s="6" t="s">
        <v>362</v>
      </c>
      <c r="E5" s="6" t="s">
        <v>236</v>
      </c>
      <c r="F5" s="9">
        <v>20</v>
      </c>
    </row>
    <row r="6" spans="1:8" x14ac:dyDescent="0.2">
      <c r="A6" s="6" t="s">
        <v>258</v>
      </c>
      <c r="B6" s="6" t="s">
        <v>226</v>
      </c>
      <c r="C6" s="9">
        <v>2</v>
      </c>
      <c r="D6" s="6" t="s">
        <v>242</v>
      </c>
      <c r="E6" s="6" t="s">
        <v>236</v>
      </c>
      <c r="F6" s="9">
        <v>4</v>
      </c>
    </row>
    <row r="7" spans="1:8" x14ac:dyDescent="0.2">
      <c r="A7" s="6"/>
      <c r="B7" s="6"/>
      <c r="C7" s="9"/>
      <c r="D7" s="6" t="s">
        <v>465</v>
      </c>
      <c r="E7" s="6" t="s">
        <v>201</v>
      </c>
      <c r="F7" s="9">
        <v>2</v>
      </c>
    </row>
    <row r="9" spans="1:8" x14ac:dyDescent="0.2">
      <c r="A9" s="10" t="s">
        <v>209</v>
      </c>
      <c r="B9" s="11"/>
      <c r="C9" s="12">
        <f>SUM(C5:C7)</f>
        <v>6</v>
      </c>
      <c r="D9" s="11"/>
      <c r="E9" s="11"/>
      <c r="F9" s="12">
        <f>SUM(F5:F7)</f>
        <v>26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20</v>
      </c>
    </row>
  </sheetData>
  <mergeCells count="3">
    <mergeCell ref="A1:F1"/>
    <mergeCell ref="A2:F2"/>
    <mergeCell ref="A10:E10"/>
  </mergeCells>
  <hyperlinks>
    <hyperlink ref="H1" r:id="rId1" location="'Summary'!A1" xr:uid="{00000000-0004-0000-5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1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754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605</v>
      </c>
      <c r="B5" s="6" t="s">
        <v>234</v>
      </c>
      <c r="C5" s="9">
        <v>14</v>
      </c>
      <c r="D5" s="6" t="s">
        <v>606</v>
      </c>
      <c r="E5" s="6" t="s">
        <v>201</v>
      </c>
      <c r="F5" s="9">
        <v>14</v>
      </c>
    </row>
    <row r="6" spans="1:8" x14ac:dyDescent="0.2">
      <c r="A6" s="6" t="s">
        <v>240</v>
      </c>
      <c r="B6" s="6" t="s">
        <v>241</v>
      </c>
      <c r="C6" s="9">
        <v>4</v>
      </c>
      <c r="D6" s="6" t="s">
        <v>607</v>
      </c>
      <c r="E6" s="6" t="s">
        <v>201</v>
      </c>
      <c r="F6" s="9">
        <v>4</v>
      </c>
    </row>
    <row r="7" spans="1:8" x14ac:dyDescent="0.2">
      <c r="A7" s="6" t="s">
        <v>253</v>
      </c>
      <c r="B7" s="6" t="s">
        <v>254</v>
      </c>
      <c r="C7" s="9">
        <v>2</v>
      </c>
      <c r="D7" s="6" t="s">
        <v>613</v>
      </c>
      <c r="E7" s="6" t="s">
        <v>201</v>
      </c>
      <c r="F7" s="9">
        <v>4</v>
      </c>
    </row>
    <row r="8" spans="1:8" x14ac:dyDescent="0.2">
      <c r="A8" s="6" t="s">
        <v>502</v>
      </c>
      <c r="B8" s="6" t="s">
        <v>503</v>
      </c>
      <c r="C8" s="9">
        <v>1</v>
      </c>
      <c r="D8" s="6" t="s">
        <v>610</v>
      </c>
      <c r="E8" s="6" t="s">
        <v>201</v>
      </c>
      <c r="F8" s="9">
        <v>2</v>
      </c>
    </row>
    <row r="9" spans="1:8" x14ac:dyDescent="0.2">
      <c r="A9" s="6"/>
      <c r="B9" s="6"/>
      <c r="C9" s="9"/>
      <c r="D9" s="6" t="s">
        <v>609</v>
      </c>
      <c r="E9" s="6" t="s">
        <v>201</v>
      </c>
      <c r="F9" s="9">
        <v>1</v>
      </c>
    </row>
    <row r="11" spans="1:8" x14ac:dyDescent="0.2">
      <c r="A11" s="10" t="s">
        <v>209</v>
      </c>
      <c r="B11" s="11"/>
      <c r="C11" s="12">
        <f>SUM(C5:C9)</f>
        <v>21</v>
      </c>
      <c r="D11" s="11"/>
      <c r="E11" s="11"/>
      <c r="F11" s="12">
        <f>SUM(F5:F9)</f>
        <v>25</v>
      </c>
    </row>
    <row r="12" spans="1:8" x14ac:dyDescent="0.2">
      <c r="A12" s="2" t="s">
        <v>210</v>
      </c>
      <c r="B12" s="2"/>
      <c r="C12" s="2"/>
      <c r="D12" s="2"/>
      <c r="E12" s="2"/>
      <c r="F12" s="12">
        <f>F11-C11</f>
        <v>4</v>
      </c>
    </row>
  </sheetData>
  <mergeCells count="3">
    <mergeCell ref="A1:F1"/>
    <mergeCell ref="A2:F2"/>
    <mergeCell ref="A12:E12"/>
  </mergeCells>
  <hyperlinks>
    <hyperlink ref="H1" r:id="rId1" location="'Summary'!A1" xr:uid="{00000000-0004-0000-5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8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755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/>
      <c r="B5" s="6"/>
      <c r="C5" s="9"/>
      <c r="D5" s="6" t="s">
        <v>688</v>
      </c>
      <c r="E5" s="6" t="s">
        <v>217</v>
      </c>
      <c r="F5" s="9">
        <v>8400</v>
      </c>
    </row>
    <row r="7" spans="1:8" x14ac:dyDescent="0.2">
      <c r="A7" s="10" t="s">
        <v>209</v>
      </c>
      <c r="B7" s="11"/>
      <c r="C7" s="12">
        <f>SUM(C5:C5)</f>
        <v>0</v>
      </c>
      <c r="D7" s="11"/>
      <c r="E7" s="11"/>
      <c r="F7" s="12">
        <f>SUM(F5:F5)</f>
        <v>8400</v>
      </c>
    </row>
    <row r="8" spans="1:8" x14ac:dyDescent="0.2">
      <c r="A8" s="2" t="s">
        <v>210</v>
      </c>
      <c r="B8" s="2"/>
      <c r="C8" s="2"/>
      <c r="D8" s="2"/>
      <c r="E8" s="2"/>
      <c r="F8" s="12">
        <f>F7-C7</f>
        <v>8400</v>
      </c>
    </row>
  </sheetData>
  <mergeCells count="3">
    <mergeCell ref="A1:F1"/>
    <mergeCell ref="A2:F2"/>
    <mergeCell ref="A8:E8"/>
  </mergeCells>
  <hyperlinks>
    <hyperlink ref="H1" r:id="rId1" location="'Summary'!A1" xr:uid="{00000000-0004-0000-5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756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500</v>
      </c>
      <c r="B5" s="6" t="s">
        <v>270</v>
      </c>
      <c r="C5" s="9">
        <v>408</v>
      </c>
      <c r="D5" s="6" t="s">
        <v>757</v>
      </c>
      <c r="E5" s="6" t="s">
        <v>758</v>
      </c>
      <c r="F5" s="9">
        <v>339</v>
      </c>
    </row>
    <row r="6" spans="1:8" x14ac:dyDescent="0.2">
      <c r="A6" s="6" t="s">
        <v>274</v>
      </c>
      <c r="B6" s="6" t="s">
        <v>275</v>
      </c>
      <c r="C6" s="9">
        <v>346</v>
      </c>
      <c r="D6" s="6" t="s">
        <v>759</v>
      </c>
      <c r="E6" s="6" t="s">
        <v>638</v>
      </c>
      <c r="F6" s="9">
        <v>295</v>
      </c>
    </row>
    <row r="7" spans="1:8" x14ac:dyDescent="0.2">
      <c r="A7" s="6" t="s">
        <v>475</v>
      </c>
      <c r="B7" s="6" t="s">
        <v>270</v>
      </c>
      <c r="C7" s="9">
        <v>146</v>
      </c>
      <c r="D7" s="6" t="s">
        <v>760</v>
      </c>
      <c r="E7" s="6" t="s">
        <v>758</v>
      </c>
      <c r="F7" s="9">
        <v>119</v>
      </c>
    </row>
    <row r="8" spans="1:8" x14ac:dyDescent="0.2">
      <c r="A8" s="6" t="s">
        <v>306</v>
      </c>
      <c r="B8" s="6" t="s">
        <v>270</v>
      </c>
      <c r="C8" s="9">
        <v>127</v>
      </c>
      <c r="D8" s="6" t="s">
        <v>624</v>
      </c>
      <c r="E8" s="6" t="s">
        <v>290</v>
      </c>
      <c r="F8" s="9">
        <v>106</v>
      </c>
    </row>
    <row r="9" spans="1:8" x14ac:dyDescent="0.2">
      <c r="A9" s="6" t="s">
        <v>294</v>
      </c>
      <c r="B9" s="6" t="s">
        <v>270</v>
      </c>
      <c r="C9" s="9">
        <v>119</v>
      </c>
      <c r="D9" s="6" t="s">
        <v>761</v>
      </c>
      <c r="E9" s="6" t="s">
        <v>290</v>
      </c>
      <c r="F9" s="9">
        <v>106</v>
      </c>
    </row>
    <row r="10" spans="1:8" x14ac:dyDescent="0.2">
      <c r="A10" s="6" t="s">
        <v>437</v>
      </c>
      <c r="B10" s="6" t="s">
        <v>270</v>
      </c>
      <c r="C10" s="9">
        <v>119</v>
      </c>
      <c r="D10" s="6" t="s">
        <v>684</v>
      </c>
      <c r="E10" s="6" t="s">
        <v>290</v>
      </c>
      <c r="F10" s="9">
        <v>106</v>
      </c>
    </row>
    <row r="11" spans="1:8" x14ac:dyDescent="0.2">
      <c r="A11" s="6" t="s">
        <v>350</v>
      </c>
      <c r="B11" s="6" t="s">
        <v>270</v>
      </c>
      <c r="C11" s="9">
        <v>112</v>
      </c>
      <c r="D11" s="6" t="s">
        <v>762</v>
      </c>
      <c r="E11" s="6" t="s">
        <v>758</v>
      </c>
      <c r="F11" s="9">
        <v>103</v>
      </c>
    </row>
    <row r="12" spans="1:8" x14ac:dyDescent="0.2">
      <c r="A12" s="6" t="s">
        <v>623</v>
      </c>
      <c r="B12" s="6" t="s">
        <v>292</v>
      </c>
      <c r="C12" s="9">
        <v>106</v>
      </c>
      <c r="D12" s="6" t="s">
        <v>763</v>
      </c>
      <c r="E12" s="6" t="s">
        <v>758</v>
      </c>
      <c r="F12" s="9">
        <v>90</v>
      </c>
    </row>
    <row r="13" spans="1:8" x14ac:dyDescent="0.2">
      <c r="A13" s="6" t="s">
        <v>764</v>
      </c>
      <c r="B13" s="6" t="s">
        <v>292</v>
      </c>
      <c r="C13" s="9">
        <v>106</v>
      </c>
      <c r="D13" s="6" t="s">
        <v>765</v>
      </c>
      <c r="E13" s="6" t="s">
        <v>638</v>
      </c>
      <c r="F13" s="9">
        <v>85</v>
      </c>
    </row>
    <row r="14" spans="1:8" x14ac:dyDescent="0.2">
      <c r="A14" s="6" t="s">
        <v>683</v>
      </c>
      <c r="B14" s="6" t="s">
        <v>292</v>
      </c>
      <c r="C14" s="9">
        <v>106</v>
      </c>
      <c r="D14" s="6" t="s">
        <v>766</v>
      </c>
      <c r="E14" s="6" t="s">
        <v>758</v>
      </c>
      <c r="F14" s="9">
        <v>83</v>
      </c>
    </row>
    <row r="15" spans="1:8" x14ac:dyDescent="0.2">
      <c r="A15" s="6" t="s">
        <v>767</v>
      </c>
      <c r="B15" s="6" t="s">
        <v>270</v>
      </c>
      <c r="C15" s="9">
        <v>103</v>
      </c>
      <c r="D15" s="6" t="s">
        <v>768</v>
      </c>
      <c r="E15" s="6" t="s">
        <v>758</v>
      </c>
      <c r="F15" s="9">
        <v>73</v>
      </c>
    </row>
    <row r="16" spans="1:8" x14ac:dyDescent="0.2">
      <c r="A16" s="6" t="s">
        <v>636</v>
      </c>
      <c r="B16" s="6" t="s">
        <v>263</v>
      </c>
      <c r="C16" s="9">
        <v>89</v>
      </c>
      <c r="D16" s="6" t="s">
        <v>769</v>
      </c>
      <c r="E16" s="6" t="s">
        <v>758</v>
      </c>
      <c r="F16" s="9">
        <v>72</v>
      </c>
    </row>
    <row r="17" spans="1:6" x14ac:dyDescent="0.2">
      <c r="A17" s="6" t="s">
        <v>277</v>
      </c>
      <c r="B17" s="6" t="s">
        <v>275</v>
      </c>
      <c r="C17" s="9">
        <v>54</v>
      </c>
      <c r="D17" s="6" t="s">
        <v>770</v>
      </c>
      <c r="E17" s="6" t="s">
        <v>638</v>
      </c>
      <c r="F17" s="9">
        <v>54</v>
      </c>
    </row>
    <row r="18" spans="1:6" x14ac:dyDescent="0.2">
      <c r="A18" s="6" t="s">
        <v>771</v>
      </c>
      <c r="B18" s="6" t="s">
        <v>263</v>
      </c>
      <c r="C18" s="9">
        <v>50</v>
      </c>
      <c r="D18" s="6" t="s">
        <v>772</v>
      </c>
      <c r="E18" s="6" t="s">
        <v>758</v>
      </c>
      <c r="F18" s="9">
        <v>53</v>
      </c>
    </row>
    <row r="19" spans="1:6" x14ac:dyDescent="0.2">
      <c r="A19" s="6" t="s">
        <v>508</v>
      </c>
      <c r="B19" s="6" t="s">
        <v>509</v>
      </c>
      <c r="C19" s="9">
        <v>43</v>
      </c>
      <c r="D19" s="6" t="s">
        <v>773</v>
      </c>
      <c r="E19" s="6" t="s">
        <v>774</v>
      </c>
      <c r="F19" s="9">
        <v>51</v>
      </c>
    </row>
    <row r="20" spans="1:6" x14ac:dyDescent="0.2">
      <c r="A20" s="6" t="s">
        <v>775</v>
      </c>
      <c r="B20" s="6" t="s">
        <v>270</v>
      </c>
      <c r="C20" s="9">
        <v>35</v>
      </c>
      <c r="D20" s="6" t="s">
        <v>776</v>
      </c>
      <c r="E20" s="6" t="s">
        <v>638</v>
      </c>
      <c r="F20" s="9">
        <v>50</v>
      </c>
    </row>
    <row r="21" spans="1:6" x14ac:dyDescent="0.2">
      <c r="A21" s="6" t="s">
        <v>777</v>
      </c>
      <c r="B21" s="6" t="s">
        <v>275</v>
      </c>
      <c r="C21" s="9">
        <v>34</v>
      </c>
      <c r="D21" s="6" t="s">
        <v>778</v>
      </c>
      <c r="E21" s="6" t="s">
        <v>779</v>
      </c>
      <c r="F21" s="9">
        <v>43</v>
      </c>
    </row>
    <row r="22" spans="1:6" x14ac:dyDescent="0.2">
      <c r="A22" s="6" t="s">
        <v>780</v>
      </c>
      <c r="B22" s="6" t="s">
        <v>270</v>
      </c>
      <c r="C22" s="9">
        <v>33</v>
      </c>
      <c r="D22" s="6" t="s">
        <v>781</v>
      </c>
      <c r="E22" s="6" t="s">
        <v>758</v>
      </c>
      <c r="F22" s="9">
        <v>36</v>
      </c>
    </row>
    <row r="23" spans="1:6" x14ac:dyDescent="0.2">
      <c r="A23" s="6" t="s">
        <v>577</v>
      </c>
      <c r="B23" s="6" t="s">
        <v>578</v>
      </c>
      <c r="C23" s="9">
        <v>28</v>
      </c>
      <c r="D23" s="6" t="s">
        <v>782</v>
      </c>
      <c r="E23" s="6" t="s">
        <v>758</v>
      </c>
      <c r="F23" s="9">
        <v>35</v>
      </c>
    </row>
    <row r="24" spans="1:6" x14ac:dyDescent="0.2">
      <c r="A24" s="6" t="s">
        <v>219</v>
      </c>
      <c r="B24" s="6" t="s">
        <v>203</v>
      </c>
      <c r="C24" s="9">
        <v>23</v>
      </c>
      <c r="D24" s="6" t="s">
        <v>783</v>
      </c>
      <c r="E24" s="6" t="s">
        <v>784</v>
      </c>
      <c r="F24" s="9">
        <v>34</v>
      </c>
    </row>
    <row r="25" spans="1:6" x14ac:dyDescent="0.2">
      <c r="A25" s="6" t="s">
        <v>785</v>
      </c>
      <c r="B25" s="6" t="s">
        <v>283</v>
      </c>
      <c r="C25" s="9">
        <v>23</v>
      </c>
      <c r="D25" s="6" t="s">
        <v>786</v>
      </c>
      <c r="E25" s="6" t="s">
        <v>758</v>
      </c>
      <c r="F25" s="9">
        <v>28</v>
      </c>
    </row>
    <row r="26" spans="1:6" x14ac:dyDescent="0.2">
      <c r="A26" s="6" t="s">
        <v>291</v>
      </c>
      <c r="B26" s="6" t="s">
        <v>292</v>
      </c>
      <c r="C26" s="9">
        <v>20</v>
      </c>
      <c r="D26" s="6" t="s">
        <v>787</v>
      </c>
      <c r="E26" s="6" t="s">
        <v>338</v>
      </c>
      <c r="F26" s="9">
        <v>23</v>
      </c>
    </row>
    <row r="27" spans="1:6" x14ac:dyDescent="0.2">
      <c r="A27" s="6" t="s">
        <v>205</v>
      </c>
      <c r="B27" s="6" t="s">
        <v>203</v>
      </c>
      <c r="C27" s="9">
        <v>12</v>
      </c>
      <c r="D27" s="6" t="s">
        <v>788</v>
      </c>
      <c r="E27" s="6" t="s">
        <v>758</v>
      </c>
      <c r="F27" s="9">
        <v>22</v>
      </c>
    </row>
    <row r="28" spans="1:6" x14ac:dyDescent="0.2">
      <c r="A28" s="6" t="s">
        <v>329</v>
      </c>
      <c r="B28" s="6" t="s">
        <v>203</v>
      </c>
      <c r="C28" s="9">
        <v>12</v>
      </c>
      <c r="D28" s="6" t="s">
        <v>789</v>
      </c>
      <c r="E28" s="6" t="s">
        <v>758</v>
      </c>
      <c r="F28" s="9">
        <v>22</v>
      </c>
    </row>
    <row r="29" spans="1:6" x14ac:dyDescent="0.2">
      <c r="A29" s="6" t="s">
        <v>301</v>
      </c>
      <c r="B29" s="6" t="s">
        <v>270</v>
      </c>
      <c r="C29" s="9">
        <v>10</v>
      </c>
      <c r="D29" s="6" t="s">
        <v>790</v>
      </c>
      <c r="E29" s="6" t="s">
        <v>758</v>
      </c>
      <c r="F29" s="9">
        <v>21</v>
      </c>
    </row>
    <row r="30" spans="1:6" x14ac:dyDescent="0.2">
      <c r="A30" s="6" t="s">
        <v>791</v>
      </c>
      <c r="B30" s="6" t="s">
        <v>292</v>
      </c>
      <c r="C30" s="9">
        <v>10</v>
      </c>
      <c r="D30" s="6" t="s">
        <v>289</v>
      </c>
      <c r="E30" s="6" t="s">
        <v>290</v>
      </c>
      <c r="F30" s="9">
        <v>20</v>
      </c>
    </row>
    <row r="31" spans="1:6" x14ac:dyDescent="0.2">
      <c r="A31" s="6" t="s">
        <v>792</v>
      </c>
      <c r="B31" s="6" t="s">
        <v>292</v>
      </c>
      <c r="C31" s="9">
        <v>10</v>
      </c>
      <c r="D31" s="6" t="s">
        <v>793</v>
      </c>
      <c r="E31" s="6" t="s">
        <v>758</v>
      </c>
      <c r="F31" s="9">
        <v>18</v>
      </c>
    </row>
    <row r="32" spans="1:6" x14ac:dyDescent="0.2">
      <c r="A32" s="6" t="s">
        <v>794</v>
      </c>
      <c r="B32" s="6" t="s">
        <v>795</v>
      </c>
      <c r="C32" s="9">
        <v>10</v>
      </c>
      <c r="D32" s="6" t="s">
        <v>796</v>
      </c>
      <c r="E32" s="6" t="s">
        <v>758</v>
      </c>
      <c r="F32" s="9">
        <v>17</v>
      </c>
    </row>
    <row r="33" spans="1:6" x14ac:dyDescent="0.2">
      <c r="A33" s="6" t="s">
        <v>419</v>
      </c>
      <c r="B33" s="6" t="s">
        <v>304</v>
      </c>
      <c r="C33" s="9">
        <v>10</v>
      </c>
      <c r="D33" s="6" t="s">
        <v>797</v>
      </c>
      <c r="E33" s="6" t="s">
        <v>758</v>
      </c>
      <c r="F33" s="9">
        <v>16</v>
      </c>
    </row>
    <row r="34" spans="1:6" x14ac:dyDescent="0.2">
      <c r="A34" s="6" t="s">
        <v>339</v>
      </c>
      <c r="B34" s="6" t="s">
        <v>340</v>
      </c>
      <c r="C34" s="9">
        <v>9</v>
      </c>
      <c r="D34" s="6" t="s">
        <v>798</v>
      </c>
      <c r="E34" s="6" t="s">
        <v>638</v>
      </c>
      <c r="F34" s="9">
        <v>16</v>
      </c>
    </row>
    <row r="35" spans="1:6" x14ac:dyDescent="0.2">
      <c r="A35" s="6" t="s">
        <v>799</v>
      </c>
      <c r="B35" s="6" t="s">
        <v>275</v>
      </c>
      <c r="C35" s="9">
        <v>6</v>
      </c>
      <c r="D35" s="6" t="s">
        <v>800</v>
      </c>
      <c r="E35" s="6" t="s">
        <v>758</v>
      </c>
      <c r="F35" s="9">
        <v>14</v>
      </c>
    </row>
    <row r="36" spans="1:6" x14ac:dyDescent="0.2">
      <c r="A36" s="6" t="s">
        <v>801</v>
      </c>
      <c r="B36" s="6" t="s">
        <v>304</v>
      </c>
      <c r="C36" s="9">
        <v>5</v>
      </c>
      <c r="D36" s="6" t="s">
        <v>802</v>
      </c>
      <c r="E36" s="6" t="s">
        <v>758</v>
      </c>
      <c r="F36" s="9">
        <v>14</v>
      </c>
    </row>
    <row r="37" spans="1:6" x14ac:dyDescent="0.2">
      <c r="A37" s="6" t="s">
        <v>803</v>
      </c>
      <c r="B37" s="6" t="s">
        <v>304</v>
      </c>
      <c r="C37" s="9">
        <v>5</v>
      </c>
      <c r="D37" s="6" t="s">
        <v>804</v>
      </c>
      <c r="E37" s="6" t="s">
        <v>758</v>
      </c>
      <c r="F37" s="9">
        <v>12</v>
      </c>
    </row>
    <row r="38" spans="1:6" x14ac:dyDescent="0.2">
      <c r="A38" s="6" t="s">
        <v>805</v>
      </c>
      <c r="B38" s="6" t="s">
        <v>304</v>
      </c>
      <c r="C38" s="9">
        <v>5</v>
      </c>
      <c r="D38" s="6" t="s">
        <v>806</v>
      </c>
      <c r="E38" s="6" t="s">
        <v>338</v>
      </c>
      <c r="F38" s="9">
        <v>10</v>
      </c>
    </row>
    <row r="39" spans="1:6" x14ac:dyDescent="0.2">
      <c r="A39" s="6" t="s">
        <v>807</v>
      </c>
      <c r="B39" s="6" t="s">
        <v>304</v>
      </c>
      <c r="C39" s="9">
        <v>5</v>
      </c>
      <c r="D39" s="6" t="s">
        <v>808</v>
      </c>
      <c r="E39" s="6" t="s">
        <v>290</v>
      </c>
      <c r="F39" s="9">
        <v>10</v>
      </c>
    </row>
    <row r="40" spans="1:6" x14ac:dyDescent="0.2">
      <c r="A40" s="6" t="s">
        <v>721</v>
      </c>
      <c r="B40" s="6" t="s">
        <v>344</v>
      </c>
      <c r="C40" s="9">
        <v>4</v>
      </c>
      <c r="D40" s="6" t="s">
        <v>809</v>
      </c>
      <c r="E40" s="6" t="s">
        <v>290</v>
      </c>
      <c r="F40" s="9">
        <v>10</v>
      </c>
    </row>
    <row r="41" spans="1:6" x14ac:dyDescent="0.2">
      <c r="A41" s="6" t="s">
        <v>810</v>
      </c>
      <c r="B41" s="6" t="s">
        <v>304</v>
      </c>
      <c r="C41" s="9">
        <v>3</v>
      </c>
      <c r="D41" s="6" t="s">
        <v>811</v>
      </c>
      <c r="E41" s="6" t="s">
        <v>758</v>
      </c>
      <c r="F41" s="9">
        <v>10</v>
      </c>
    </row>
    <row r="42" spans="1:6" x14ac:dyDescent="0.2">
      <c r="A42" s="6" t="s">
        <v>812</v>
      </c>
      <c r="B42" s="6" t="s">
        <v>304</v>
      </c>
      <c r="C42" s="9">
        <v>3</v>
      </c>
      <c r="D42" s="6" t="s">
        <v>813</v>
      </c>
      <c r="E42" s="6" t="s">
        <v>758</v>
      </c>
      <c r="F42" s="9">
        <v>10</v>
      </c>
    </row>
    <row r="43" spans="1:6" x14ac:dyDescent="0.2">
      <c r="A43" s="6" t="s">
        <v>814</v>
      </c>
      <c r="B43" s="6" t="s">
        <v>275</v>
      </c>
      <c r="C43" s="9">
        <v>3</v>
      </c>
      <c r="D43" s="6" t="s">
        <v>815</v>
      </c>
      <c r="E43" s="6" t="s">
        <v>758</v>
      </c>
      <c r="F43" s="9">
        <v>10</v>
      </c>
    </row>
    <row r="44" spans="1:6" x14ac:dyDescent="0.2">
      <c r="A44" s="6" t="s">
        <v>322</v>
      </c>
      <c r="B44" s="6" t="s">
        <v>203</v>
      </c>
      <c r="C44" s="9">
        <v>2</v>
      </c>
      <c r="D44" s="6" t="s">
        <v>816</v>
      </c>
      <c r="E44" s="6" t="s">
        <v>638</v>
      </c>
      <c r="F44" s="9">
        <v>9</v>
      </c>
    </row>
    <row r="45" spans="1:6" x14ac:dyDescent="0.2">
      <c r="A45" s="6" t="s">
        <v>817</v>
      </c>
      <c r="B45" s="6" t="s">
        <v>270</v>
      </c>
      <c r="C45" s="9">
        <v>2</v>
      </c>
      <c r="D45" s="6" t="s">
        <v>818</v>
      </c>
      <c r="E45" s="6" t="s">
        <v>758</v>
      </c>
      <c r="F45" s="9">
        <v>6</v>
      </c>
    </row>
    <row r="46" spans="1:6" x14ac:dyDescent="0.2">
      <c r="A46" s="6" t="s">
        <v>819</v>
      </c>
      <c r="B46" s="6" t="s">
        <v>263</v>
      </c>
      <c r="C46" s="9">
        <v>2</v>
      </c>
      <c r="D46" s="6" t="s">
        <v>820</v>
      </c>
      <c r="E46" s="6" t="s">
        <v>774</v>
      </c>
      <c r="F46" s="9">
        <v>6</v>
      </c>
    </row>
    <row r="47" spans="1:6" x14ac:dyDescent="0.2">
      <c r="A47" s="6" t="s">
        <v>821</v>
      </c>
      <c r="B47" s="6" t="s">
        <v>203</v>
      </c>
      <c r="C47" s="9">
        <v>1</v>
      </c>
      <c r="D47" s="6" t="s">
        <v>822</v>
      </c>
      <c r="E47" s="6" t="s">
        <v>638</v>
      </c>
      <c r="F47" s="9">
        <v>6</v>
      </c>
    </row>
    <row r="48" spans="1:6" x14ac:dyDescent="0.2">
      <c r="A48" s="6" t="s">
        <v>286</v>
      </c>
      <c r="B48" s="6" t="s">
        <v>270</v>
      </c>
      <c r="C48" s="9">
        <v>1</v>
      </c>
      <c r="D48" s="6" t="s">
        <v>823</v>
      </c>
      <c r="E48" s="6" t="s">
        <v>338</v>
      </c>
      <c r="F48" s="9">
        <v>6</v>
      </c>
    </row>
    <row r="49" spans="1:6" x14ac:dyDescent="0.2">
      <c r="A49" s="6" t="s">
        <v>648</v>
      </c>
      <c r="B49" s="6" t="s">
        <v>275</v>
      </c>
      <c r="C49" s="9">
        <v>1</v>
      </c>
      <c r="D49" s="6" t="s">
        <v>824</v>
      </c>
      <c r="E49" s="6" t="s">
        <v>758</v>
      </c>
      <c r="F49" s="9">
        <v>5</v>
      </c>
    </row>
    <row r="50" spans="1:6" x14ac:dyDescent="0.2">
      <c r="A50" s="6"/>
      <c r="B50" s="6"/>
      <c r="C50" s="9"/>
      <c r="D50" s="6" t="s">
        <v>825</v>
      </c>
      <c r="E50" s="6" t="s">
        <v>758</v>
      </c>
      <c r="F50" s="9">
        <v>5</v>
      </c>
    </row>
    <row r="51" spans="1:6" x14ac:dyDescent="0.2">
      <c r="A51" s="6"/>
      <c r="B51" s="6"/>
      <c r="C51" s="9"/>
      <c r="D51" s="6" t="s">
        <v>826</v>
      </c>
      <c r="E51" s="6" t="s">
        <v>758</v>
      </c>
      <c r="F51" s="9">
        <v>5</v>
      </c>
    </row>
    <row r="52" spans="1:6" x14ac:dyDescent="0.2">
      <c r="A52" s="6"/>
      <c r="B52" s="6"/>
      <c r="C52" s="9"/>
      <c r="D52" s="6" t="s">
        <v>827</v>
      </c>
      <c r="E52" s="6" t="s">
        <v>758</v>
      </c>
      <c r="F52" s="9">
        <v>5</v>
      </c>
    </row>
    <row r="53" spans="1:6" x14ac:dyDescent="0.2">
      <c r="A53" s="6"/>
      <c r="B53" s="6"/>
      <c r="C53" s="9"/>
      <c r="D53" s="6" t="s">
        <v>828</v>
      </c>
      <c r="E53" s="6" t="s">
        <v>758</v>
      </c>
      <c r="F53" s="9">
        <v>5</v>
      </c>
    </row>
    <row r="54" spans="1:6" x14ac:dyDescent="0.2">
      <c r="A54" s="6"/>
      <c r="B54" s="6"/>
      <c r="C54" s="9"/>
      <c r="D54" s="6" t="s">
        <v>829</v>
      </c>
      <c r="E54" s="6" t="s">
        <v>638</v>
      </c>
      <c r="F54" s="9">
        <v>5</v>
      </c>
    </row>
    <row r="55" spans="1:6" x14ac:dyDescent="0.2">
      <c r="A55" s="6"/>
      <c r="B55" s="6"/>
      <c r="C55" s="9"/>
      <c r="D55" s="6" t="s">
        <v>830</v>
      </c>
      <c r="E55" s="6" t="s">
        <v>831</v>
      </c>
      <c r="F55" s="9">
        <v>4</v>
      </c>
    </row>
    <row r="56" spans="1:6" x14ac:dyDescent="0.2">
      <c r="A56" s="6"/>
      <c r="B56" s="6"/>
      <c r="C56" s="9"/>
      <c r="D56" s="6" t="s">
        <v>455</v>
      </c>
      <c r="E56" s="6" t="s">
        <v>338</v>
      </c>
      <c r="F56" s="9">
        <v>4</v>
      </c>
    </row>
    <row r="57" spans="1:6" x14ac:dyDescent="0.2">
      <c r="A57" s="6"/>
      <c r="B57" s="6"/>
      <c r="C57" s="9"/>
      <c r="D57" s="6" t="s">
        <v>832</v>
      </c>
      <c r="E57" s="6" t="s">
        <v>638</v>
      </c>
      <c r="F57" s="9">
        <v>4</v>
      </c>
    </row>
    <row r="58" spans="1:6" x14ac:dyDescent="0.2">
      <c r="A58" s="6"/>
      <c r="B58" s="6"/>
      <c r="C58" s="9"/>
      <c r="D58" s="6" t="s">
        <v>649</v>
      </c>
      <c r="E58" s="6" t="s">
        <v>638</v>
      </c>
      <c r="F58" s="9">
        <v>3</v>
      </c>
    </row>
    <row r="59" spans="1:6" x14ac:dyDescent="0.2">
      <c r="A59" s="6"/>
      <c r="B59" s="6"/>
      <c r="C59" s="9"/>
      <c r="D59" s="6" t="s">
        <v>833</v>
      </c>
      <c r="E59" s="6" t="s">
        <v>758</v>
      </c>
      <c r="F59" s="9">
        <v>3</v>
      </c>
    </row>
    <row r="60" spans="1:6" x14ac:dyDescent="0.2">
      <c r="A60" s="6"/>
      <c r="B60" s="6"/>
      <c r="C60" s="9"/>
      <c r="D60" s="6" t="s">
        <v>834</v>
      </c>
      <c r="E60" s="6" t="s">
        <v>774</v>
      </c>
      <c r="F60" s="9">
        <v>3</v>
      </c>
    </row>
    <row r="61" spans="1:6" x14ac:dyDescent="0.2">
      <c r="A61" s="6"/>
      <c r="B61" s="6"/>
      <c r="C61" s="9"/>
      <c r="D61" s="6" t="s">
        <v>835</v>
      </c>
      <c r="E61" s="6" t="s">
        <v>758</v>
      </c>
      <c r="F61" s="9">
        <v>3</v>
      </c>
    </row>
    <row r="62" spans="1:6" x14ac:dyDescent="0.2">
      <c r="A62" s="6"/>
      <c r="B62" s="6"/>
      <c r="C62" s="9"/>
      <c r="D62" s="6" t="s">
        <v>836</v>
      </c>
      <c r="E62" s="6" t="s">
        <v>837</v>
      </c>
      <c r="F62" s="9">
        <v>2</v>
      </c>
    </row>
    <row r="63" spans="1:6" x14ac:dyDescent="0.2">
      <c r="A63" s="6"/>
      <c r="B63" s="6"/>
      <c r="C63" s="9"/>
      <c r="D63" s="6" t="s">
        <v>838</v>
      </c>
      <c r="E63" s="6" t="s">
        <v>338</v>
      </c>
      <c r="F63" s="9">
        <v>1</v>
      </c>
    </row>
    <row r="64" spans="1:6" x14ac:dyDescent="0.2">
      <c r="A64" s="6"/>
      <c r="B64" s="6"/>
      <c r="C64" s="9"/>
      <c r="D64" s="6" t="s">
        <v>651</v>
      </c>
      <c r="E64" s="6" t="s">
        <v>273</v>
      </c>
      <c r="F64" s="9">
        <v>1</v>
      </c>
    </row>
    <row r="66" spans="1:6" x14ac:dyDescent="0.2">
      <c r="A66" s="10" t="s">
        <v>209</v>
      </c>
      <c r="B66" s="11"/>
      <c r="C66" s="12">
        <f>SUM(C5:C64)</f>
        <v>2361</v>
      </c>
      <c r="D66" s="11"/>
      <c r="E66" s="11"/>
      <c r="F66" s="12">
        <f>SUM(F5:F64)</f>
        <v>2327</v>
      </c>
    </row>
    <row r="67" spans="1:6" x14ac:dyDescent="0.2">
      <c r="A67" s="2" t="s">
        <v>210</v>
      </c>
      <c r="B67" s="2"/>
      <c r="C67" s="2"/>
      <c r="D67" s="2"/>
      <c r="E67" s="2"/>
      <c r="F67" s="13">
        <f>F66-C66</f>
        <v>-34</v>
      </c>
    </row>
  </sheetData>
  <mergeCells count="3">
    <mergeCell ref="A1:F1"/>
    <mergeCell ref="A2:F2"/>
    <mergeCell ref="A67:E67"/>
  </mergeCells>
  <hyperlinks>
    <hyperlink ref="H1" r:id="rId1" location="'Summary'!A1" xr:uid="{00000000-0004-0000-5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839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577</v>
      </c>
      <c r="B5" s="6" t="s">
        <v>578</v>
      </c>
      <c r="C5" s="9">
        <v>400</v>
      </c>
      <c r="D5" s="6" t="s">
        <v>688</v>
      </c>
      <c r="E5" s="6" t="s">
        <v>217</v>
      </c>
      <c r="F5" s="9">
        <v>5600</v>
      </c>
    </row>
    <row r="6" spans="1:8" x14ac:dyDescent="0.2">
      <c r="A6" s="6"/>
      <c r="B6" s="6"/>
      <c r="C6" s="9"/>
      <c r="D6" s="6" t="s">
        <v>840</v>
      </c>
      <c r="E6" s="6" t="s">
        <v>265</v>
      </c>
      <c r="F6" s="9">
        <v>400</v>
      </c>
    </row>
    <row r="7" spans="1:8" x14ac:dyDescent="0.2">
      <c r="A7" s="6"/>
      <c r="B7" s="6"/>
      <c r="C7" s="9"/>
      <c r="D7" s="6" t="s">
        <v>823</v>
      </c>
      <c r="E7" s="6" t="s">
        <v>338</v>
      </c>
      <c r="F7" s="9">
        <v>400</v>
      </c>
    </row>
    <row r="9" spans="1:8" x14ac:dyDescent="0.2">
      <c r="A9" s="10" t="s">
        <v>209</v>
      </c>
      <c r="B9" s="11"/>
      <c r="C9" s="12">
        <f>SUM(C5:C7)</f>
        <v>400</v>
      </c>
      <c r="D9" s="11"/>
      <c r="E9" s="11"/>
      <c r="F9" s="12">
        <f>SUM(F5:F7)</f>
        <v>6400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6000</v>
      </c>
    </row>
  </sheetData>
  <mergeCells count="3">
    <mergeCell ref="A1:F1"/>
    <mergeCell ref="A2:F2"/>
    <mergeCell ref="A10:E10"/>
  </mergeCells>
  <hyperlinks>
    <hyperlink ref="H1" r:id="rId1" location="'Summary'!A1" xr:uid="{00000000-0004-0000-5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3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841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294</v>
      </c>
      <c r="B5" s="6" t="s">
        <v>270</v>
      </c>
      <c r="C5" s="9">
        <v>11400</v>
      </c>
      <c r="D5" s="6" t="s">
        <v>842</v>
      </c>
      <c r="E5" s="6" t="s">
        <v>843</v>
      </c>
      <c r="F5" s="9">
        <v>17800</v>
      </c>
    </row>
    <row r="6" spans="1:8" x14ac:dyDescent="0.2">
      <c r="A6" s="6" t="s">
        <v>437</v>
      </c>
      <c r="B6" s="6" t="s">
        <v>270</v>
      </c>
      <c r="C6" s="9">
        <v>11400</v>
      </c>
      <c r="D6" s="6" t="s">
        <v>844</v>
      </c>
      <c r="E6" s="6" t="s">
        <v>845</v>
      </c>
      <c r="F6" s="9">
        <v>3600</v>
      </c>
    </row>
    <row r="7" spans="1:8" x14ac:dyDescent="0.2">
      <c r="A7" s="6" t="s">
        <v>475</v>
      </c>
      <c r="B7" s="6" t="s">
        <v>270</v>
      </c>
      <c r="C7" s="9">
        <v>10139</v>
      </c>
      <c r="D7" s="6" t="s">
        <v>846</v>
      </c>
      <c r="E7" s="6" t="s">
        <v>265</v>
      </c>
      <c r="F7" s="9">
        <v>3200</v>
      </c>
    </row>
    <row r="8" spans="1:8" x14ac:dyDescent="0.2">
      <c r="A8" s="6" t="s">
        <v>424</v>
      </c>
      <c r="B8" s="6" t="s">
        <v>221</v>
      </c>
      <c r="C8" s="9">
        <v>9600</v>
      </c>
      <c r="D8" s="6" t="s">
        <v>847</v>
      </c>
      <c r="E8" s="6" t="s">
        <v>318</v>
      </c>
      <c r="F8" s="9">
        <v>3000</v>
      </c>
    </row>
    <row r="9" spans="1:8" x14ac:dyDescent="0.2">
      <c r="A9" s="6" t="s">
        <v>309</v>
      </c>
      <c r="B9" s="6" t="s">
        <v>221</v>
      </c>
      <c r="C9" s="9">
        <v>2800</v>
      </c>
      <c r="D9" s="6" t="s">
        <v>848</v>
      </c>
      <c r="E9" s="6" t="s">
        <v>318</v>
      </c>
      <c r="F9" s="9">
        <v>2800</v>
      </c>
    </row>
    <row r="10" spans="1:8" x14ac:dyDescent="0.2">
      <c r="A10" s="6" t="s">
        <v>556</v>
      </c>
      <c r="B10" s="6" t="s">
        <v>283</v>
      </c>
      <c r="C10" s="9">
        <v>1800</v>
      </c>
      <c r="D10" s="6" t="s">
        <v>849</v>
      </c>
      <c r="E10" s="6" t="s">
        <v>318</v>
      </c>
      <c r="F10" s="9">
        <v>2400</v>
      </c>
    </row>
    <row r="11" spans="1:8" x14ac:dyDescent="0.2">
      <c r="A11" s="6" t="s">
        <v>220</v>
      </c>
      <c r="B11" s="6" t="s">
        <v>221</v>
      </c>
      <c r="C11" s="9">
        <v>1800</v>
      </c>
      <c r="D11" s="6" t="s">
        <v>850</v>
      </c>
      <c r="E11" s="6" t="s">
        <v>318</v>
      </c>
      <c r="F11" s="9">
        <v>2133.33</v>
      </c>
    </row>
    <row r="12" spans="1:8" x14ac:dyDescent="0.2">
      <c r="A12" s="6" t="s">
        <v>350</v>
      </c>
      <c r="B12" s="6" t="s">
        <v>270</v>
      </c>
      <c r="C12" s="9">
        <v>1600</v>
      </c>
      <c r="D12" s="6" t="s">
        <v>851</v>
      </c>
      <c r="E12" s="6" t="s">
        <v>265</v>
      </c>
      <c r="F12" s="9">
        <v>1866</v>
      </c>
    </row>
    <row r="13" spans="1:8" x14ac:dyDescent="0.2">
      <c r="A13" s="6" t="s">
        <v>369</v>
      </c>
      <c r="B13" s="6" t="s">
        <v>270</v>
      </c>
      <c r="C13" s="9">
        <v>1400</v>
      </c>
      <c r="D13" s="6" t="s">
        <v>852</v>
      </c>
      <c r="E13" s="6" t="s">
        <v>268</v>
      </c>
      <c r="F13" s="9">
        <v>1466</v>
      </c>
    </row>
    <row r="14" spans="1:8" x14ac:dyDescent="0.2">
      <c r="A14" s="6" t="s">
        <v>336</v>
      </c>
      <c r="B14" s="6" t="s">
        <v>221</v>
      </c>
      <c r="C14" s="9">
        <v>1200</v>
      </c>
      <c r="D14" s="6" t="s">
        <v>853</v>
      </c>
      <c r="E14" s="6" t="s">
        <v>265</v>
      </c>
      <c r="F14" s="9">
        <v>1200</v>
      </c>
    </row>
    <row r="15" spans="1:8" x14ac:dyDescent="0.2">
      <c r="A15" s="6" t="s">
        <v>500</v>
      </c>
      <c r="B15" s="6" t="s">
        <v>270</v>
      </c>
      <c r="C15" s="9">
        <v>900</v>
      </c>
      <c r="D15" s="6" t="s">
        <v>854</v>
      </c>
      <c r="E15" s="6" t="s">
        <v>214</v>
      </c>
      <c r="F15" s="9">
        <v>1133.33</v>
      </c>
    </row>
    <row r="16" spans="1:8" x14ac:dyDescent="0.2">
      <c r="A16" s="6" t="s">
        <v>855</v>
      </c>
      <c r="B16" s="6" t="s">
        <v>270</v>
      </c>
      <c r="C16" s="9">
        <v>600</v>
      </c>
      <c r="D16" s="6" t="s">
        <v>856</v>
      </c>
      <c r="E16" s="6" t="s">
        <v>265</v>
      </c>
      <c r="F16" s="9">
        <v>1066</v>
      </c>
    </row>
    <row r="17" spans="1:6" x14ac:dyDescent="0.2">
      <c r="A17" s="6" t="s">
        <v>857</v>
      </c>
      <c r="B17" s="6" t="s">
        <v>270</v>
      </c>
      <c r="C17" s="9">
        <v>600</v>
      </c>
      <c r="D17" s="6" t="s">
        <v>858</v>
      </c>
      <c r="E17" s="6" t="s">
        <v>265</v>
      </c>
      <c r="F17" s="9">
        <v>1066</v>
      </c>
    </row>
    <row r="18" spans="1:6" x14ac:dyDescent="0.2">
      <c r="A18" s="6" t="s">
        <v>353</v>
      </c>
      <c r="B18" s="6" t="s">
        <v>270</v>
      </c>
      <c r="C18" s="9">
        <v>400</v>
      </c>
      <c r="D18" s="6" t="s">
        <v>859</v>
      </c>
      <c r="E18" s="6" t="s">
        <v>265</v>
      </c>
      <c r="F18" s="9">
        <v>866</v>
      </c>
    </row>
    <row r="19" spans="1:6" x14ac:dyDescent="0.2">
      <c r="A19" s="6" t="s">
        <v>298</v>
      </c>
      <c r="B19" s="6" t="s">
        <v>283</v>
      </c>
      <c r="C19" s="9">
        <v>200</v>
      </c>
      <c r="D19" s="6" t="s">
        <v>860</v>
      </c>
      <c r="E19" s="6" t="s">
        <v>265</v>
      </c>
      <c r="F19" s="9">
        <v>800</v>
      </c>
    </row>
    <row r="20" spans="1:6" x14ac:dyDescent="0.2">
      <c r="A20" s="6"/>
      <c r="B20" s="6"/>
      <c r="C20" s="9"/>
      <c r="D20" s="6" t="s">
        <v>396</v>
      </c>
      <c r="E20" s="6" t="s">
        <v>265</v>
      </c>
      <c r="F20" s="9">
        <v>600</v>
      </c>
    </row>
    <row r="21" spans="1:6" x14ac:dyDescent="0.2">
      <c r="A21" s="6"/>
      <c r="B21" s="6"/>
      <c r="C21" s="9"/>
      <c r="D21" s="6" t="s">
        <v>354</v>
      </c>
      <c r="E21" s="6" t="s">
        <v>265</v>
      </c>
      <c r="F21" s="9">
        <v>400</v>
      </c>
    </row>
    <row r="22" spans="1:6" x14ac:dyDescent="0.2">
      <c r="A22" s="6"/>
      <c r="B22" s="6"/>
      <c r="C22" s="9"/>
      <c r="D22" s="6" t="s">
        <v>861</v>
      </c>
      <c r="E22" s="6" t="s">
        <v>214</v>
      </c>
      <c r="F22" s="9">
        <v>400</v>
      </c>
    </row>
    <row r="23" spans="1:6" x14ac:dyDescent="0.2">
      <c r="A23" s="6"/>
      <c r="B23" s="6"/>
      <c r="C23" s="9"/>
      <c r="D23" s="6" t="s">
        <v>862</v>
      </c>
      <c r="E23" s="6" t="s">
        <v>265</v>
      </c>
      <c r="F23" s="9">
        <v>266</v>
      </c>
    </row>
    <row r="24" spans="1:6" x14ac:dyDescent="0.2">
      <c r="A24" s="6"/>
      <c r="B24" s="6"/>
      <c r="C24" s="9"/>
      <c r="D24" s="6" t="s">
        <v>863</v>
      </c>
      <c r="E24" s="6" t="s">
        <v>265</v>
      </c>
      <c r="F24" s="9">
        <v>200</v>
      </c>
    </row>
    <row r="25" spans="1:6" x14ac:dyDescent="0.2">
      <c r="A25" s="6"/>
      <c r="B25" s="6"/>
      <c r="C25" s="9"/>
      <c r="D25" s="6" t="s">
        <v>864</v>
      </c>
      <c r="E25" s="6" t="s">
        <v>265</v>
      </c>
      <c r="F25" s="9">
        <v>200</v>
      </c>
    </row>
    <row r="26" spans="1:6" x14ac:dyDescent="0.2">
      <c r="A26" s="6"/>
      <c r="B26" s="6"/>
      <c r="C26" s="9"/>
      <c r="D26" s="6" t="s">
        <v>865</v>
      </c>
      <c r="E26" s="6" t="s">
        <v>268</v>
      </c>
      <c r="F26" s="9">
        <v>166</v>
      </c>
    </row>
    <row r="27" spans="1:6" x14ac:dyDescent="0.2">
      <c r="A27" s="6"/>
      <c r="B27" s="6"/>
      <c r="C27" s="9"/>
      <c r="D27" s="6" t="s">
        <v>398</v>
      </c>
      <c r="E27" s="6" t="s">
        <v>318</v>
      </c>
      <c r="F27" s="9">
        <v>133</v>
      </c>
    </row>
    <row r="28" spans="1:6" x14ac:dyDescent="0.2">
      <c r="A28" s="6"/>
      <c r="B28" s="6"/>
      <c r="C28" s="9"/>
      <c r="D28" s="6" t="s">
        <v>866</v>
      </c>
      <c r="E28" s="6" t="s">
        <v>867</v>
      </c>
      <c r="F28" s="9">
        <v>133</v>
      </c>
    </row>
    <row r="29" spans="1:6" x14ac:dyDescent="0.2">
      <c r="A29" s="6"/>
      <c r="B29" s="6"/>
      <c r="C29" s="9"/>
      <c r="D29" s="6" t="s">
        <v>455</v>
      </c>
      <c r="E29" s="6" t="s">
        <v>338</v>
      </c>
      <c r="F29" s="9">
        <v>100</v>
      </c>
    </row>
    <row r="31" spans="1:6" x14ac:dyDescent="0.2">
      <c r="A31" s="10" t="s">
        <v>209</v>
      </c>
      <c r="B31" s="11"/>
      <c r="C31" s="12">
        <f>SUM(C5:C29)</f>
        <v>55839</v>
      </c>
      <c r="D31" s="11"/>
      <c r="E31" s="11"/>
      <c r="F31" s="12">
        <f>SUM(F5:F29)</f>
        <v>46994.66</v>
      </c>
    </row>
    <row r="32" spans="1:6" x14ac:dyDescent="0.2">
      <c r="A32" s="2" t="s">
        <v>210</v>
      </c>
      <c r="B32" s="2"/>
      <c r="C32" s="2"/>
      <c r="D32" s="2"/>
      <c r="E32" s="2"/>
      <c r="F32" s="13">
        <f>F31-C31</f>
        <v>-8844.3399999999965</v>
      </c>
    </row>
  </sheetData>
  <mergeCells count="3">
    <mergeCell ref="A1:F1"/>
    <mergeCell ref="A2:F2"/>
    <mergeCell ref="A32:E32"/>
  </mergeCells>
  <hyperlinks>
    <hyperlink ref="H1" r:id="rId1" location="'Summary'!A1" xr:uid="{00000000-0004-0000-5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10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868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608</v>
      </c>
      <c r="B5" s="6" t="s">
        <v>503</v>
      </c>
      <c r="C5" s="9">
        <v>220</v>
      </c>
      <c r="D5" s="6" t="s">
        <v>617</v>
      </c>
      <c r="E5" s="6" t="s">
        <v>201</v>
      </c>
      <c r="F5" s="9">
        <v>254</v>
      </c>
    </row>
    <row r="6" spans="1:8" x14ac:dyDescent="0.2">
      <c r="A6" s="6"/>
      <c r="B6" s="6"/>
      <c r="C6" s="9"/>
      <c r="D6" s="6" t="s">
        <v>744</v>
      </c>
      <c r="E6" s="6" t="s">
        <v>201</v>
      </c>
      <c r="F6" s="9">
        <v>94</v>
      </c>
    </row>
    <row r="7" spans="1:8" x14ac:dyDescent="0.2">
      <c r="A7" s="6"/>
      <c r="B7" s="6"/>
      <c r="C7" s="9"/>
      <c r="D7" s="6" t="s">
        <v>746</v>
      </c>
      <c r="E7" s="6" t="s">
        <v>201</v>
      </c>
      <c r="F7" s="9">
        <v>4</v>
      </c>
    </row>
    <row r="9" spans="1:8" x14ac:dyDescent="0.2">
      <c r="A9" s="10" t="s">
        <v>209</v>
      </c>
      <c r="B9" s="11"/>
      <c r="C9" s="12">
        <f>SUM(C5:C7)</f>
        <v>220</v>
      </c>
      <c r="D9" s="11"/>
      <c r="E9" s="11"/>
      <c r="F9" s="12">
        <f>SUM(F5:F7)</f>
        <v>352</v>
      </c>
    </row>
    <row r="10" spans="1:8" x14ac:dyDescent="0.2">
      <c r="A10" s="2" t="s">
        <v>210</v>
      </c>
      <c r="B10" s="2"/>
      <c r="C10" s="2"/>
      <c r="D10" s="2"/>
      <c r="E10" s="2"/>
      <c r="F10" s="12">
        <f>F9-C9</f>
        <v>132</v>
      </c>
    </row>
  </sheetData>
  <mergeCells count="3">
    <mergeCell ref="A1:F1"/>
    <mergeCell ref="A2:F2"/>
    <mergeCell ref="A10:E10"/>
  </mergeCells>
  <hyperlinks>
    <hyperlink ref="H1" r:id="rId1" location="'Summary'!A1" xr:uid="{00000000-0004-0000-5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3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869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300</v>
      </c>
      <c r="B5" s="6" t="s">
        <v>270</v>
      </c>
      <c r="C5" s="9">
        <v>2719</v>
      </c>
      <c r="D5" s="6" t="s">
        <v>870</v>
      </c>
      <c r="E5" s="6" t="s">
        <v>224</v>
      </c>
      <c r="F5" s="9">
        <v>3215</v>
      </c>
    </row>
    <row r="6" spans="1:8" x14ac:dyDescent="0.2">
      <c r="A6" s="6" t="s">
        <v>482</v>
      </c>
      <c r="B6" s="6" t="s">
        <v>275</v>
      </c>
      <c r="C6" s="9">
        <v>1627</v>
      </c>
      <c r="D6" s="6" t="s">
        <v>871</v>
      </c>
      <c r="E6" s="6" t="s">
        <v>872</v>
      </c>
      <c r="F6" s="9">
        <v>2440</v>
      </c>
    </row>
    <row r="7" spans="1:8" x14ac:dyDescent="0.2">
      <c r="A7" s="6" t="s">
        <v>294</v>
      </c>
      <c r="B7" s="6" t="s">
        <v>270</v>
      </c>
      <c r="C7" s="9">
        <v>1582.6</v>
      </c>
      <c r="D7" s="6" t="s">
        <v>873</v>
      </c>
      <c r="E7" s="6" t="s">
        <v>224</v>
      </c>
      <c r="F7" s="9">
        <v>2210</v>
      </c>
    </row>
    <row r="8" spans="1:8" x14ac:dyDescent="0.2">
      <c r="A8" s="6" t="s">
        <v>296</v>
      </c>
      <c r="B8" s="6" t="s">
        <v>270</v>
      </c>
      <c r="C8" s="9">
        <v>1582.6</v>
      </c>
      <c r="D8" s="6" t="s">
        <v>874</v>
      </c>
      <c r="E8" s="6" t="s">
        <v>224</v>
      </c>
      <c r="F8" s="9">
        <v>2188.6</v>
      </c>
    </row>
    <row r="9" spans="1:8" x14ac:dyDescent="0.2">
      <c r="A9" s="6" t="s">
        <v>875</v>
      </c>
      <c r="B9" s="6" t="s">
        <v>275</v>
      </c>
      <c r="C9" s="9">
        <v>1370</v>
      </c>
      <c r="D9" s="6" t="s">
        <v>876</v>
      </c>
      <c r="E9" s="6" t="s">
        <v>228</v>
      </c>
      <c r="F9" s="9">
        <v>1627</v>
      </c>
    </row>
    <row r="10" spans="1:8" x14ac:dyDescent="0.2">
      <c r="A10" s="6" t="s">
        <v>877</v>
      </c>
      <c r="B10" s="6" t="s">
        <v>509</v>
      </c>
      <c r="C10" s="9">
        <v>1100</v>
      </c>
      <c r="D10" s="6" t="s">
        <v>878</v>
      </c>
      <c r="E10" s="6" t="s">
        <v>872</v>
      </c>
      <c r="F10" s="9">
        <v>1370</v>
      </c>
    </row>
    <row r="11" spans="1:8" x14ac:dyDescent="0.2">
      <c r="A11" s="6" t="s">
        <v>799</v>
      </c>
      <c r="B11" s="6" t="s">
        <v>275</v>
      </c>
      <c r="C11" s="9">
        <v>950</v>
      </c>
      <c r="D11" s="6" t="s">
        <v>879</v>
      </c>
      <c r="E11" s="6" t="s">
        <v>880</v>
      </c>
      <c r="F11" s="9">
        <v>1100</v>
      </c>
    </row>
    <row r="12" spans="1:8" x14ac:dyDescent="0.2">
      <c r="A12" s="6" t="s">
        <v>881</v>
      </c>
      <c r="B12" s="6" t="s">
        <v>612</v>
      </c>
      <c r="C12" s="9">
        <v>886</v>
      </c>
      <c r="D12" s="6" t="s">
        <v>882</v>
      </c>
      <c r="E12" s="6" t="s">
        <v>872</v>
      </c>
      <c r="F12" s="9">
        <v>950</v>
      </c>
    </row>
    <row r="13" spans="1:8" x14ac:dyDescent="0.2">
      <c r="A13" s="6" t="s">
        <v>883</v>
      </c>
      <c r="B13" s="6" t="s">
        <v>275</v>
      </c>
      <c r="C13" s="9">
        <v>873</v>
      </c>
      <c r="D13" s="6" t="s">
        <v>884</v>
      </c>
      <c r="E13" s="6" t="s">
        <v>228</v>
      </c>
      <c r="F13" s="9">
        <v>873</v>
      </c>
    </row>
    <row r="14" spans="1:8" x14ac:dyDescent="0.2">
      <c r="A14" s="6" t="s">
        <v>885</v>
      </c>
      <c r="B14" s="6" t="s">
        <v>283</v>
      </c>
      <c r="C14" s="9">
        <v>803.25</v>
      </c>
      <c r="D14" s="6" t="s">
        <v>886</v>
      </c>
      <c r="E14" s="6" t="s">
        <v>887</v>
      </c>
      <c r="F14" s="9">
        <v>700</v>
      </c>
    </row>
    <row r="15" spans="1:8" x14ac:dyDescent="0.2">
      <c r="A15" s="6" t="s">
        <v>508</v>
      </c>
      <c r="B15" s="6" t="s">
        <v>509</v>
      </c>
      <c r="C15" s="9">
        <v>788</v>
      </c>
      <c r="D15" s="6" t="s">
        <v>888</v>
      </c>
      <c r="E15" s="6" t="s">
        <v>872</v>
      </c>
      <c r="F15" s="9">
        <v>661.8</v>
      </c>
    </row>
    <row r="16" spans="1:8" x14ac:dyDescent="0.2">
      <c r="A16" s="6" t="s">
        <v>817</v>
      </c>
      <c r="B16" s="6" t="s">
        <v>270</v>
      </c>
      <c r="C16" s="9">
        <v>517.6</v>
      </c>
      <c r="D16" s="6" t="s">
        <v>889</v>
      </c>
      <c r="E16" s="6" t="s">
        <v>224</v>
      </c>
      <c r="F16" s="9">
        <v>517.6</v>
      </c>
    </row>
    <row r="17" spans="1:6" x14ac:dyDescent="0.2">
      <c r="A17" s="6" t="s">
        <v>890</v>
      </c>
      <c r="B17" s="6" t="s">
        <v>275</v>
      </c>
      <c r="C17" s="9">
        <v>512</v>
      </c>
      <c r="D17" s="6" t="s">
        <v>891</v>
      </c>
      <c r="E17" s="6" t="s">
        <v>228</v>
      </c>
      <c r="F17" s="9">
        <v>512</v>
      </c>
    </row>
    <row r="18" spans="1:6" x14ac:dyDescent="0.2">
      <c r="A18" s="6" t="s">
        <v>556</v>
      </c>
      <c r="B18" s="6" t="s">
        <v>283</v>
      </c>
      <c r="C18" s="9">
        <v>362</v>
      </c>
      <c r="D18" s="6" t="s">
        <v>892</v>
      </c>
      <c r="E18" s="6" t="s">
        <v>893</v>
      </c>
      <c r="F18" s="9">
        <v>480</v>
      </c>
    </row>
    <row r="19" spans="1:6" x14ac:dyDescent="0.2">
      <c r="A19" s="6" t="s">
        <v>894</v>
      </c>
      <c r="B19" s="6" t="s">
        <v>270</v>
      </c>
      <c r="C19" s="9">
        <v>322</v>
      </c>
      <c r="D19" s="6" t="s">
        <v>895</v>
      </c>
      <c r="E19" s="6" t="s">
        <v>224</v>
      </c>
      <c r="F19" s="9">
        <v>362</v>
      </c>
    </row>
    <row r="20" spans="1:6" x14ac:dyDescent="0.2">
      <c r="A20" s="6" t="s">
        <v>309</v>
      </c>
      <c r="B20" s="6" t="s">
        <v>221</v>
      </c>
      <c r="C20" s="9">
        <v>310</v>
      </c>
      <c r="D20" s="6" t="s">
        <v>896</v>
      </c>
      <c r="E20" s="6" t="s">
        <v>224</v>
      </c>
      <c r="F20" s="9">
        <v>322</v>
      </c>
    </row>
    <row r="21" spans="1:6" x14ac:dyDescent="0.2">
      <c r="A21" s="6" t="s">
        <v>747</v>
      </c>
      <c r="B21" s="6" t="s">
        <v>241</v>
      </c>
      <c r="C21" s="9">
        <v>300</v>
      </c>
      <c r="D21" s="6" t="s">
        <v>897</v>
      </c>
      <c r="E21" s="6" t="s">
        <v>224</v>
      </c>
      <c r="F21" s="9">
        <v>260</v>
      </c>
    </row>
    <row r="22" spans="1:6" x14ac:dyDescent="0.2">
      <c r="A22" s="6" t="s">
        <v>898</v>
      </c>
      <c r="B22" s="6" t="s">
        <v>270</v>
      </c>
      <c r="C22" s="9">
        <v>265</v>
      </c>
      <c r="D22" s="6" t="s">
        <v>899</v>
      </c>
      <c r="E22" s="6" t="s">
        <v>893</v>
      </c>
      <c r="F22" s="9">
        <v>258.60000000000002</v>
      </c>
    </row>
    <row r="23" spans="1:6" x14ac:dyDescent="0.2">
      <c r="A23" s="6" t="s">
        <v>428</v>
      </c>
      <c r="B23" s="6" t="s">
        <v>429</v>
      </c>
      <c r="C23" s="9">
        <v>225</v>
      </c>
      <c r="D23" s="6" t="s">
        <v>900</v>
      </c>
      <c r="E23" s="6" t="s">
        <v>901</v>
      </c>
      <c r="F23" s="9">
        <v>245.8</v>
      </c>
    </row>
    <row r="24" spans="1:6" x14ac:dyDescent="0.2">
      <c r="A24" s="6" t="s">
        <v>821</v>
      </c>
      <c r="B24" s="6" t="s">
        <v>203</v>
      </c>
      <c r="C24" s="9">
        <v>218</v>
      </c>
      <c r="D24" s="6" t="s">
        <v>902</v>
      </c>
      <c r="E24" s="6" t="s">
        <v>224</v>
      </c>
      <c r="F24" s="9">
        <v>240.2</v>
      </c>
    </row>
    <row r="25" spans="1:6" x14ac:dyDescent="0.2">
      <c r="A25" s="6" t="s">
        <v>291</v>
      </c>
      <c r="B25" s="6" t="s">
        <v>292</v>
      </c>
      <c r="C25" s="9">
        <v>200</v>
      </c>
      <c r="D25" s="6" t="s">
        <v>903</v>
      </c>
      <c r="E25" s="6" t="s">
        <v>904</v>
      </c>
      <c r="F25" s="9">
        <v>225</v>
      </c>
    </row>
    <row r="26" spans="1:6" x14ac:dyDescent="0.2">
      <c r="A26" s="6" t="s">
        <v>286</v>
      </c>
      <c r="B26" s="6" t="s">
        <v>270</v>
      </c>
      <c r="C26" s="9">
        <v>130</v>
      </c>
      <c r="D26" s="6" t="s">
        <v>905</v>
      </c>
      <c r="E26" s="6" t="s">
        <v>906</v>
      </c>
      <c r="F26" s="9">
        <v>220</v>
      </c>
    </row>
    <row r="27" spans="1:6" x14ac:dyDescent="0.2">
      <c r="A27" s="6" t="s">
        <v>907</v>
      </c>
      <c r="B27" s="6" t="s">
        <v>292</v>
      </c>
      <c r="C27" s="9">
        <v>80</v>
      </c>
      <c r="D27" s="6" t="s">
        <v>908</v>
      </c>
      <c r="E27" s="6" t="s">
        <v>224</v>
      </c>
      <c r="F27" s="9">
        <v>213</v>
      </c>
    </row>
    <row r="28" spans="1:6" x14ac:dyDescent="0.2">
      <c r="A28" s="6" t="s">
        <v>909</v>
      </c>
      <c r="B28" s="6" t="s">
        <v>292</v>
      </c>
      <c r="C28" s="9">
        <v>74.3</v>
      </c>
      <c r="D28" s="6" t="s">
        <v>289</v>
      </c>
      <c r="E28" s="6" t="s">
        <v>290</v>
      </c>
      <c r="F28" s="9">
        <v>200</v>
      </c>
    </row>
    <row r="29" spans="1:6" x14ac:dyDescent="0.2">
      <c r="A29" s="6" t="s">
        <v>910</v>
      </c>
      <c r="B29" s="6" t="s">
        <v>292</v>
      </c>
      <c r="C29" s="9">
        <v>74.3</v>
      </c>
      <c r="D29" s="6" t="s">
        <v>911</v>
      </c>
      <c r="E29" s="6" t="s">
        <v>906</v>
      </c>
      <c r="F29" s="9">
        <v>90</v>
      </c>
    </row>
    <row r="30" spans="1:6" x14ac:dyDescent="0.2">
      <c r="A30" s="6" t="s">
        <v>577</v>
      </c>
      <c r="B30" s="6" t="s">
        <v>578</v>
      </c>
      <c r="C30" s="9">
        <v>15</v>
      </c>
      <c r="D30" s="6" t="s">
        <v>912</v>
      </c>
      <c r="E30" s="6" t="s">
        <v>224</v>
      </c>
      <c r="F30" s="9">
        <v>87</v>
      </c>
    </row>
    <row r="31" spans="1:6" x14ac:dyDescent="0.2">
      <c r="A31" s="6"/>
      <c r="B31" s="6"/>
      <c r="C31" s="9"/>
      <c r="D31" s="6" t="s">
        <v>913</v>
      </c>
      <c r="E31" s="6" t="s">
        <v>290</v>
      </c>
      <c r="F31" s="9">
        <v>80</v>
      </c>
    </row>
    <row r="32" spans="1:6" x14ac:dyDescent="0.2">
      <c r="A32" s="6"/>
      <c r="B32" s="6"/>
      <c r="C32" s="9"/>
      <c r="D32" s="6" t="s">
        <v>914</v>
      </c>
      <c r="E32" s="6" t="s">
        <v>290</v>
      </c>
      <c r="F32" s="9">
        <v>74.3</v>
      </c>
    </row>
    <row r="33" spans="1:6" x14ac:dyDescent="0.2">
      <c r="A33" s="6"/>
      <c r="B33" s="6"/>
      <c r="C33" s="9"/>
      <c r="D33" s="6" t="s">
        <v>915</v>
      </c>
      <c r="E33" s="6" t="s">
        <v>893</v>
      </c>
      <c r="F33" s="9">
        <v>59</v>
      </c>
    </row>
    <row r="34" spans="1:6" x14ac:dyDescent="0.2">
      <c r="A34" s="6"/>
      <c r="B34" s="6"/>
      <c r="C34" s="9"/>
      <c r="D34" s="6" t="s">
        <v>750</v>
      </c>
      <c r="E34" s="6" t="s">
        <v>236</v>
      </c>
      <c r="F34" s="9">
        <v>7</v>
      </c>
    </row>
    <row r="36" spans="1:6" x14ac:dyDescent="0.2">
      <c r="A36" s="10" t="s">
        <v>209</v>
      </c>
      <c r="B36" s="11"/>
      <c r="C36" s="12">
        <f>SUM(C5:C34)</f>
        <v>17886.650000000001</v>
      </c>
      <c r="D36" s="11"/>
      <c r="E36" s="11"/>
      <c r="F36" s="12">
        <f>SUM(F5:F34)</f>
        <v>21788.899999999994</v>
      </c>
    </row>
    <row r="37" spans="1:6" x14ac:dyDescent="0.2">
      <c r="A37" s="2" t="s">
        <v>210</v>
      </c>
      <c r="B37" s="2"/>
      <c r="C37" s="2"/>
      <c r="D37" s="2"/>
      <c r="E37" s="2"/>
      <c r="F37" s="12">
        <f>F36-C36</f>
        <v>3902.2499999999927</v>
      </c>
    </row>
  </sheetData>
  <mergeCells count="3">
    <mergeCell ref="A1:F1"/>
    <mergeCell ref="A2:F2"/>
    <mergeCell ref="A37:E37"/>
  </mergeCells>
  <hyperlinks>
    <hyperlink ref="H1" r:id="rId1" location="'Summary'!A1" xr:uid="{00000000-0004-0000-5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17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916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577</v>
      </c>
      <c r="B5" s="6" t="s">
        <v>578</v>
      </c>
      <c r="C5" s="9">
        <v>200</v>
      </c>
      <c r="D5" s="6" t="s">
        <v>917</v>
      </c>
      <c r="E5" s="6" t="s">
        <v>265</v>
      </c>
      <c r="F5" s="9">
        <v>8400</v>
      </c>
    </row>
    <row r="6" spans="1:8" x14ac:dyDescent="0.2">
      <c r="A6" s="6"/>
      <c r="B6" s="6"/>
      <c r="C6" s="9"/>
      <c r="D6" s="6" t="s">
        <v>688</v>
      </c>
      <c r="E6" s="6" t="s">
        <v>217</v>
      </c>
      <c r="F6" s="9">
        <v>5200</v>
      </c>
    </row>
    <row r="7" spans="1:8" x14ac:dyDescent="0.2">
      <c r="A7" s="6"/>
      <c r="B7" s="6"/>
      <c r="C7" s="9"/>
      <c r="D7" s="6" t="s">
        <v>598</v>
      </c>
      <c r="E7" s="6" t="s">
        <v>265</v>
      </c>
      <c r="F7" s="9">
        <v>5000</v>
      </c>
    </row>
    <row r="8" spans="1:8" x14ac:dyDescent="0.2">
      <c r="A8" s="6"/>
      <c r="B8" s="6"/>
      <c r="C8" s="9"/>
      <c r="D8" s="6" t="s">
        <v>734</v>
      </c>
      <c r="E8" s="6" t="s">
        <v>265</v>
      </c>
      <c r="F8" s="9">
        <v>3400</v>
      </c>
    </row>
    <row r="9" spans="1:8" x14ac:dyDescent="0.2">
      <c r="A9" s="6"/>
      <c r="B9" s="6"/>
      <c r="C9" s="9"/>
      <c r="D9" s="6" t="s">
        <v>918</v>
      </c>
      <c r="E9" s="6" t="s">
        <v>318</v>
      </c>
      <c r="F9" s="9">
        <v>2000</v>
      </c>
    </row>
    <row r="10" spans="1:8" x14ac:dyDescent="0.2">
      <c r="A10" s="6"/>
      <c r="B10" s="6"/>
      <c r="C10" s="9"/>
      <c r="D10" s="6" t="s">
        <v>919</v>
      </c>
      <c r="E10" s="6" t="s">
        <v>338</v>
      </c>
      <c r="F10" s="9">
        <v>1000</v>
      </c>
    </row>
    <row r="11" spans="1:8" x14ac:dyDescent="0.2">
      <c r="A11" s="6"/>
      <c r="B11" s="6"/>
      <c r="C11" s="9"/>
      <c r="D11" s="6" t="s">
        <v>920</v>
      </c>
      <c r="E11" s="6" t="s">
        <v>265</v>
      </c>
      <c r="F11" s="9">
        <v>600</v>
      </c>
    </row>
    <row r="12" spans="1:8" x14ac:dyDescent="0.2">
      <c r="A12" s="6"/>
      <c r="B12" s="6"/>
      <c r="C12" s="9"/>
      <c r="D12" s="6" t="s">
        <v>397</v>
      </c>
      <c r="E12" s="6" t="s">
        <v>265</v>
      </c>
      <c r="F12" s="9">
        <v>600</v>
      </c>
    </row>
    <row r="13" spans="1:8" x14ac:dyDescent="0.2">
      <c r="A13" s="6"/>
      <c r="B13" s="6"/>
      <c r="C13" s="9"/>
      <c r="D13" s="6" t="s">
        <v>823</v>
      </c>
      <c r="E13" s="6" t="s">
        <v>338</v>
      </c>
      <c r="F13" s="9">
        <v>500</v>
      </c>
    </row>
    <row r="14" spans="1:8" x14ac:dyDescent="0.2">
      <c r="A14" s="6"/>
      <c r="B14" s="6"/>
      <c r="C14" s="9"/>
      <c r="D14" s="6" t="s">
        <v>840</v>
      </c>
      <c r="E14" s="6" t="s">
        <v>265</v>
      </c>
      <c r="F14" s="9">
        <v>200</v>
      </c>
    </row>
    <row r="16" spans="1:8" x14ac:dyDescent="0.2">
      <c r="A16" s="10" t="s">
        <v>209</v>
      </c>
      <c r="B16" s="11"/>
      <c r="C16" s="12">
        <f>SUM(C5:C14)</f>
        <v>200</v>
      </c>
      <c r="D16" s="11"/>
      <c r="E16" s="11"/>
      <c r="F16" s="12">
        <f>SUM(F5:F14)</f>
        <v>26900</v>
      </c>
    </row>
    <row r="17" spans="1:6" x14ac:dyDescent="0.2">
      <c r="A17" s="2" t="s">
        <v>210</v>
      </c>
      <c r="B17" s="2"/>
      <c r="C17" s="2"/>
      <c r="D17" s="2"/>
      <c r="E17" s="2"/>
      <c r="F17" s="12">
        <f>F16-C16</f>
        <v>26700</v>
      </c>
    </row>
  </sheetData>
  <mergeCells count="3">
    <mergeCell ref="A1:F1"/>
    <mergeCell ref="A2:F2"/>
    <mergeCell ref="A17:E17"/>
  </mergeCells>
  <hyperlinks>
    <hyperlink ref="H1" r:id="rId1" location="'Summary'!A1" xr:uid="{00000000-0004-0000-5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33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921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424</v>
      </c>
      <c r="B5" s="6" t="s">
        <v>221</v>
      </c>
      <c r="C5" s="9">
        <v>179</v>
      </c>
      <c r="D5" s="6" t="s">
        <v>922</v>
      </c>
      <c r="E5" s="6" t="s">
        <v>374</v>
      </c>
      <c r="F5" s="9">
        <v>780</v>
      </c>
    </row>
    <row r="6" spans="1:8" x14ac:dyDescent="0.2">
      <c r="A6" s="6" t="s">
        <v>336</v>
      </c>
      <c r="B6" s="6" t="s">
        <v>221</v>
      </c>
      <c r="C6" s="9">
        <v>118</v>
      </c>
      <c r="D6" s="6" t="s">
        <v>923</v>
      </c>
      <c r="E6" s="6" t="s">
        <v>318</v>
      </c>
      <c r="F6" s="9">
        <v>328</v>
      </c>
    </row>
    <row r="7" spans="1:8" x14ac:dyDescent="0.2">
      <c r="A7" s="6" t="s">
        <v>309</v>
      </c>
      <c r="B7" s="6" t="s">
        <v>221</v>
      </c>
      <c r="C7" s="9">
        <v>66</v>
      </c>
      <c r="D7" s="6" t="s">
        <v>924</v>
      </c>
      <c r="E7" s="6" t="s">
        <v>318</v>
      </c>
      <c r="F7" s="9">
        <v>219</v>
      </c>
    </row>
    <row r="8" spans="1:8" x14ac:dyDescent="0.2">
      <c r="A8" s="6" t="s">
        <v>291</v>
      </c>
      <c r="B8" s="6" t="s">
        <v>292</v>
      </c>
      <c r="C8" s="9">
        <v>54</v>
      </c>
      <c r="D8" s="6" t="s">
        <v>443</v>
      </c>
      <c r="E8" s="6" t="s">
        <v>338</v>
      </c>
      <c r="F8" s="9">
        <v>101</v>
      </c>
    </row>
    <row r="9" spans="1:8" x14ac:dyDescent="0.2">
      <c r="A9" s="6" t="s">
        <v>508</v>
      </c>
      <c r="B9" s="6" t="s">
        <v>509</v>
      </c>
      <c r="C9" s="9">
        <v>50</v>
      </c>
      <c r="D9" s="6" t="s">
        <v>925</v>
      </c>
      <c r="E9" s="6" t="s">
        <v>774</v>
      </c>
      <c r="F9" s="9">
        <v>76</v>
      </c>
    </row>
    <row r="10" spans="1:8" x14ac:dyDescent="0.2">
      <c r="A10" s="6" t="s">
        <v>350</v>
      </c>
      <c r="B10" s="6" t="s">
        <v>270</v>
      </c>
      <c r="C10" s="9">
        <v>36</v>
      </c>
      <c r="D10" s="6" t="s">
        <v>289</v>
      </c>
      <c r="E10" s="6" t="s">
        <v>290</v>
      </c>
      <c r="F10" s="9">
        <v>54</v>
      </c>
    </row>
    <row r="11" spans="1:8" x14ac:dyDescent="0.2">
      <c r="A11" s="6" t="s">
        <v>312</v>
      </c>
      <c r="B11" s="6" t="s">
        <v>313</v>
      </c>
      <c r="C11" s="9">
        <v>36</v>
      </c>
      <c r="D11" s="6" t="s">
        <v>926</v>
      </c>
      <c r="E11" s="6" t="s">
        <v>927</v>
      </c>
      <c r="F11" s="9">
        <v>41</v>
      </c>
    </row>
    <row r="12" spans="1:8" x14ac:dyDescent="0.2">
      <c r="A12" s="6" t="s">
        <v>231</v>
      </c>
      <c r="B12" s="6" t="s">
        <v>203</v>
      </c>
      <c r="C12" s="9">
        <v>16</v>
      </c>
      <c r="D12" s="6" t="s">
        <v>928</v>
      </c>
      <c r="E12" s="6" t="s">
        <v>338</v>
      </c>
      <c r="F12" s="9">
        <v>37</v>
      </c>
    </row>
    <row r="13" spans="1:8" x14ac:dyDescent="0.2">
      <c r="A13" s="6" t="s">
        <v>929</v>
      </c>
      <c r="B13" s="6" t="s">
        <v>429</v>
      </c>
      <c r="C13" s="9">
        <v>8</v>
      </c>
      <c r="D13" s="6" t="s">
        <v>930</v>
      </c>
      <c r="E13" s="6" t="s">
        <v>374</v>
      </c>
      <c r="F13" s="9">
        <v>25</v>
      </c>
    </row>
    <row r="14" spans="1:8" x14ac:dyDescent="0.2">
      <c r="A14" s="6" t="s">
        <v>777</v>
      </c>
      <c r="B14" s="6" t="s">
        <v>275</v>
      </c>
      <c r="C14" s="9">
        <v>8</v>
      </c>
      <c r="D14" s="6" t="s">
        <v>931</v>
      </c>
      <c r="E14" s="6" t="s">
        <v>374</v>
      </c>
      <c r="F14" s="9">
        <v>20</v>
      </c>
    </row>
    <row r="15" spans="1:8" x14ac:dyDescent="0.2">
      <c r="A15" s="6" t="s">
        <v>909</v>
      </c>
      <c r="B15" s="6" t="s">
        <v>292</v>
      </c>
      <c r="C15" s="9">
        <v>4</v>
      </c>
      <c r="D15" s="6" t="s">
        <v>932</v>
      </c>
      <c r="E15" s="6" t="s">
        <v>374</v>
      </c>
      <c r="F15" s="9">
        <v>19</v>
      </c>
    </row>
    <row r="16" spans="1:8" x14ac:dyDescent="0.2">
      <c r="A16" s="6" t="s">
        <v>910</v>
      </c>
      <c r="B16" s="6" t="s">
        <v>292</v>
      </c>
      <c r="C16" s="9">
        <v>4</v>
      </c>
      <c r="D16" s="6" t="s">
        <v>352</v>
      </c>
      <c r="E16" s="6" t="s">
        <v>338</v>
      </c>
      <c r="F16" s="9">
        <v>16</v>
      </c>
    </row>
    <row r="17" spans="1:6" x14ac:dyDescent="0.2">
      <c r="A17" s="6" t="s">
        <v>274</v>
      </c>
      <c r="B17" s="6" t="s">
        <v>275</v>
      </c>
      <c r="C17" s="9">
        <v>4</v>
      </c>
      <c r="D17" s="6" t="s">
        <v>933</v>
      </c>
      <c r="E17" s="6" t="s">
        <v>374</v>
      </c>
      <c r="F17" s="9">
        <v>16</v>
      </c>
    </row>
    <row r="18" spans="1:6" x14ac:dyDescent="0.2">
      <c r="A18" s="6" t="s">
        <v>266</v>
      </c>
      <c r="B18" s="6" t="s">
        <v>203</v>
      </c>
      <c r="C18" s="9">
        <v>2</v>
      </c>
      <c r="D18" s="6" t="s">
        <v>934</v>
      </c>
      <c r="E18" s="6" t="s">
        <v>338</v>
      </c>
      <c r="F18" s="9">
        <v>12</v>
      </c>
    </row>
    <row r="19" spans="1:6" x14ac:dyDescent="0.2">
      <c r="A19" s="6"/>
      <c r="B19" s="6"/>
      <c r="C19" s="9"/>
      <c r="D19" s="6" t="s">
        <v>935</v>
      </c>
      <c r="E19" s="6" t="s">
        <v>338</v>
      </c>
      <c r="F19" s="9">
        <v>8</v>
      </c>
    </row>
    <row r="20" spans="1:6" x14ac:dyDescent="0.2">
      <c r="A20" s="6"/>
      <c r="B20" s="6"/>
      <c r="C20" s="9"/>
      <c r="D20" s="6" t="s">
        <v>936</v>
      </c>
      <c r="E20" s="6" t="s">
        <v>374</v>
      </c>
      <c r="F20" s="9">
        <v>8</v>
      </c>
    </row>
    <row r="21" spans="1:6" x14ac:dyDescent="0.2">
      <c r="A21" s="6"/>
      <c r="B21" s="6"/>
      <c r="C21" s="9"/>
      <c r="D21" s="6" t="s">
        <v>937</v>
      </c>
      <c r="E21" s="6" t="s">
        <v>927</v>
      </c>
      <c r="F21" s="9">
        <v>8</v>
      </c>
    </row>
    <row r="22" spans="1:6" x14ac:dyDescent="0.2">
      <c r="A22" s="6"/>
      <c r="B22" s="6"/>
      <c r="C22" s="9"/>
      <c r="D22" s="6" t="s">
        <v>914</v>
      </c>
      <c r="E22" s="6" t="s">
        <v>290</v>
      </c>
      <c r="F22" s="9">
        <v>4</v>
      </c>
    </row>
    <row r="23" spans="1:6" x14ac:dyDescent="0.2">
      <c r="A23" s="6"/>
      <c r="B23" s="6"/>
      <c r="C23" s="9"/>
      <c r="D23" s="6" t="s">
        <v>707</v>
      </c>
      <c r="E23" s="6" t="s">
        <v>338</v>
      </c>
      <c r="F23" s="9">
        <v>4</v>
      </c>
    </row>
    <row r="24" spans="1:6" x14ac:dyDescent="0.2">
      <c r="A24" s="6"/>
      <c r="B24" s="6"/>
      <c r="C24" s="9"/>
      <c r="D24" s="6" t="s">
        <v>938</v>
      </c>
      <c r="E24" s="6" t="s">
        <v>374</v>
      </c>
      <c r="F24" s="9">
        <v>4</v>
      </c>
    </row>
    <row r="25" spans="1:6" x14ac:dyDescent="0.2">
      <c r="A25" s="6"/>
      <c r="B25" s="6"/>
      <c r="C25" s="9"/>
      <c r="D25" s="6" t="s">
        <v>939</v>
      </c>
      <c r="E25" s="6" t="s">
        <v>774</v>
      </c>
      <c r="F25" s="9">
        <v>4</v>
      </c>
    </row>
    <row r="26" spans="1:6" x14ac:dyDescent="0.2">
      <c r="A26" s="6"/>
      <c r="B26" s="6"/>
      <c r="C26" s="9"/>
      <c r="D26" s="6" t="s">
        <v>940</v>
      </c>
      <c r="E26" s="6" t="s">
        <v>379</v>
      </c>
      <c r="F26" s="9">
        <v>3</v>
      </c>
    </row>
    <row r="27" spans="1:6" x14ac:dyDescent="0.2">
      <c r="A27" s="6"/>
      <c r="B27" s="6"/>
      <c r="C27" s="9"/>
      <c r="D27" s="6" t="s">
        <v>388</v>
      </c>
      <c r="E27" s="6" t="s">
        <v>379</v>
      </c>
      <c r="F27" s="9">
        <v>2</v>
      </c>
    </row>
    <row r="28" spans="1:6" x14ac:dyDescent="0.2">
      <c r="A28" s="6"/>
      <c r="B28" s="6"/>
      <c r="C28" s="9"/>
      <c r="D28" s="6" t="s">
        <v>941</v>
      </c>
      <c r="E28" s="6" t="s">
        <v>544</v>
      </c>
      <c r="F28" s="9">
        <v>2</v>
      </c>
    </row>
    <row r="29" spans="1:6" x14ac:dyDescent="0.2">
      <c r="A29" s="6"/>
      <c r="B29" s="6"/>
      <c r="C29" s="9"/>
      <c r="D29" s="6" t="s">
        <v>942</v>
      </c>
      <c r="E29" s="6" t="s">
        <v>338</v>
      </c>
      <c r="F29" s="9">
        <v>1</v>
      </c>
    </row>
    <row r="30" spans="1:6" x14ac:dyDescent="0.2">
      <c r="A30" s="6"/>
      <c r="B30" s="6"/>
      <c r="C30" s="9"/>
      <c r="D30" s="6" t="s">
        <v>943</v>
      </c>
      <c r="E30" s="6" t="s">
        <v>338</v>
      </c>
      <c r="F30" s="9">
        <v>1</v>
      </c>
    </row>
    <row r="32" spans="1:6" x14ac:dyDescent="0.2">
      <c r="A32" s="10" t="s">
        <v>209</v>
      </c>
      <c r="B32" s="11"/>
      <c r="C32" s="12">
        <f>SUM(C5:C30)</f>
        <v>585</v>
      </c>
      <c r="D32" s="11"/>
      <c r="E32" s="11"/>
      <c r="F32" s="12">
        <f>SUM(F5:F30)</f>
        <v>1793</v>
      </c>
    </row>
    <row r="33" spans="1:6" x14ac:dyDescent="0.2">
      <c r="A33" s="2" t="s">
        <v>210</v>
      </c>
      <c r="B33" s="2"/>
      <c r="C33" s="2"/>
      <c r="D33" s="2"/>
      <c r="E33" s="2"/>
      <c r="F33" s="12">
        <f>F32-C32</f>
        <v>1208</v>
      </c>
    </row>
  </sheetData>
  <mergeCells count="3">
    <mergeCell ref="A1:F1"/>
    <mergeCell ref="A2:F2"/>
    <mergeCell ref="A33:E33"/>
  </mergeCells>
  <hyperlinks>
    <hyperlink ref="H1" r:id="rId1" location="'Summary'!A1" xr:uid="{00000000-0004-0000-5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8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944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945</v>
      </c>
      <c r="B5" s="6" t="s">
        <v>711</v>
      </c>
      <c r="C5" s="9">
        <v>4</v>
      </c>
      <c r="D5" s="6" t="s">
        <v>946</v>
      </c>
      <c r="E5" s="6" t="s">
        <v>947</v>
      </c>
      <c r="F5" s="9">
        <v>19</v>
      </c>
    </row>
    <row r="6" spans="1:8" x14ac:dyDescent="0.2">
      <c r="A6" s="6" t="s">
        <v>500</v>
      </c>
      <c r="B6" s="6" t="s">
        <v>270</v>
      </c>
      <c r="C6" s="9">
        <v>3</v>
      </c>
      <c r="D6" s="6" t="s">
        <v>948</v>
      </c>
      <c r="E6" s="6" t="s">
        <v>949</v>
      </c>
      <c r="F6" s="9">
        <v>8</v>
      </c>
    </row>
    <row r="7" spans="1:8" x14ac:dyDescent="0.2">
      <c r="A7" s="6" t="s">
        <v>950</v>
      </c>
      <c r="B7" s="6" t="s">
        <v>344</v>
      </c>
      <c r="C7" s="9">
        <v>3</v>
      </c>
      <c r="D7" s="6" t="s">
        <v>951</v>
      </c>
      <c r="E7" s="6" t="s">
        <v>241</v>
      </c>
      <c r="F7" s="9">
        <v>4</v>
      </c>
    </row>
    <row r="8" spans="1:8" x14ac:dyDescent="0.2">
      <c r="A8" s="6" t="s">
        <v>952</v>
      </c>
      <c r="B8" s="6" t="s">
        <v>953</v>
      </c>
      <c r="C8" s="9">
        <v>3</v>
      </c>
      <c r="D8" s="6" t="s">
        <v>954</v>
      </c>
      <c r="E8" s="6" t="s">
        <v>955</v>
      </c>
      <c r="F8" s="9">
        <v>3</v>
      </c>
    </row>
    <row r="9" spans="1:8" x14ac:dyDescent="0.2">
      <c r="A9" s="6" t="s">
        <v>309</v>
      </c>
      <c r="B9" s="6" t="s">
        <v>221</v>
      </c>
      <c r="C9" s="9">
        <v>2</v>
      </c>
      <c r="D9" s="6" t="s">
        <v>956</v>
      </c>
      <c r="E9" s="6" t="s">
        <v>957</v>
      </c>
      <c r="F9" s="9">
        <v>3</v>
      </c>
    </row>
    <row r="10" spans="1:8" x14ac:dyDescent="0.2">
      <c r="A10" s="6" t="s">
        <v>574</v>
      </c>
      <c r="B10" s="6" t="s">
        <v>275</v>
      </c>
      <c r="C10" s="9">
        <v>2</v>
      </c>
      <c r="D10" s="6" t="s">
        <v>958</v>
      </c>
      <c r="E10" s="6" t="s">
        <v>236</v>
      </c>
      <c r="F10" s="9">
        <v>2</v>
      </c>
    </row>
    <row r="11" spans="1:8" x14ac:dyDescent="0.2">
      <c r="A11" s="6" t="s">
        <v>959</v>
      </c>
      <c r="B11" s="6" t="s">
        <v>275</v>
      </c>
      <c r="C11" s="9">
        <v>2</v>
      </c>
      <c r="D11" s="6" t="s">
        <v>960</v>
      </c>
      <c r="E11" s="6" t="s">
        <v>906</v>
      </c>
      <c r="F11" s="9">
        <v>2</v>
      </c>
    </row>
    <row r="12" spans="1:8" x14ac:dyDescent="0.2">
      <c r="A12" s="6" t="s">
        <v>348</v>
      </c>
      <c r="B12" s="6" t="s">
        <v>283</v>
      </c>
      <c r="C12" s="9">
        <v>1</v>
      </c>
      <c r="D12" s="6" t="s">
        <v>961</v>
      </c>
      <c r="E12" s="6" t="s">
        <v>962</v>
      </c>
      <c r="F12" s="9">
        <v>2</v>
      </c>
    </row>
    <row r="13" spans="1:8" x14ac:dyDescent="0.2">
      <c r="A13" s="6"/>
      <c r="B13" s="6"/>
      <c r="C13" s="9"/>
      <c r="D13" s="6" t="s">
        <v>963</v>
      </c>
      <c r="E13" s="6" t="s">
        <v>964</v>
      </c>
      <c r="F13" s="9">
        <v>1</v>
      </c>
    </row>
    <row r="14" spans="1:8" x14ac:dyDescent="0.2">
      <c r="A14" s="6"/>
      <c r="B14" s="6"/>
      <c r="C14" s="9"/>
      <c r="D14" s="6" t="s">
        <v>965</v>
      </c>
      <c r="E14" s="6" t="s">
        <v>966</v>
      </c>
      <c r="F14" s="9">
        <v>1</v>
      </c>
    </row>
    <row r="15" spans="1:8" x14ac:dyDescent="0.2">
      <c r="A15" s="6"/>
      <c r="B15" s="6"/>
      <c r="C15" s="9"/>
      <c r="D15" s="6" t="s">
        <v>967</v>
      </c>
      <c r="E15" s="6" t="s">
        <v>906</v>
      </c>
      <c r="F15" s="9">
        <v>1</v>
      </c>
    </row>
    <row r="17" spans="1:6" x14ac:dyDescent="0.2">
      <c r="A17" s="10" t="s">
        <v>209</v>
      </c>
      <c r="B17" s="11"/>
      <c r="C17" s="12">
        <f>SUM(C5:C15)</f>
        <v>20</v>
      </c>
      <c r="D17" s="11"/>
      <c r="E17" s="11"/>
      <c r="F17" s="12">
        <f>SUM(F5:F15)</f>
        <v>46</v>
      </c>
    </row>
    <row r="18" spans="1:6" x14ac:dyDescent="0.2">
      <c r="A18" s="2" t="s">
        <v>210</v>
      </c>
      <c r="B18" s="2"/>
      <c r="C18" s="2"/>
      <c r="D18" s="2"/>
      <c r="E18" s="2"/>
      <c r="F18" s="12">
        <f>F17-C17</f>
        <v>26</v>
      </c>
    </row>
  </sheetData>
  <mergeCells count="3">
    <mergeCell ref="A1:F1"/>
    <mergeCell ref="A2:F2"/>
    <mergeCell ref="A18:E18"/>
  </mergeCells>
  <hyperlinks>
    <hyperlink ref="H1" r:id="rId1" location="'Summary'!A1" xr:uid="{00000000-0004-0000-5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62"/>
  <sheetViews>
    <sheetView showGridLines="0"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14" customWidth="1"/>
    <col min="4" max="4" width="18" customWidth="1"/>
    <col min="5" max="5" width="28" customWidth="1"/>
    <col min="6" max="6" width="14" customWidth="1"/>
  </cols>
  <sheetData>
    <row r="1" spans="1:8" ht="17" x14ac:dyDescent="0.2">
      <c r="A1" s="4" t="s">
        <v>968</v>
      </c>
      <c r="B1" s="4"/>
      <c r="C1" s="4"/>
      <c r="D1" s="4"/>
      <c r="E1" s="4"/>
      <c r="F1" s="4"/>
      <c r="H1" s="7" t="s">
        <v>190</v>
      </c>
    </row>
    <row r="2" spans="1:8" x14ac:dyDescent="0.2">
      <c r="A2" s="3" t="s">
        <v>191</v>
      </c>
      <c r="B2" s="3"/>
      <c r="C2" s="3"/>
      <c r="D2" s="3"/>
      <c r="E2" s="3"/>
      <c r="F2" s="3"/>
    </row>
    <row r="4" spans="1:8" ht="29" x14ac:dyDescent="0.2">
      <c r="A4" s="8" t="s">
        <v>192</v>
      </c>
      <c r="B4" s="8" t="s">
        <v>193</v>
      </c>
      <c r="C4" s="8" t="s">
        <v>194</v>
      </c>
      <c r="D4" s="8" t="s">
        <v>195</v>
      </c>
      <c r="E4" s="8" t="s">
        <v>196</v>
      </c>
      <c r="F4" s="8" t="s">
        <v>197</v>
      </c>
    </row>
    <row r="5" spans="1:8" x14ac:dyDescent="0.2">
      <c r="A5" s="6" t="s">
        <v>309</v>
      </c>
      <c r="B5" s="6" t="s">
        <v>221</v>
      </c>
      <c r="C5" s="9">
        <v>361</v>
      </c>
      <c r="D5" s="6" t="s">
        <v>969</v>
      </c>
      <c r="E5" s="6" t="s">
        <v>207</v>
      </c>
      <c r="F5" s="9">
        <v>500</v>
      </c>
    </row>
    <row r="6" spans="1:8" x14ac:dyDescent="0.2">
      <c r="A6" s="6" t="s">
        <v>469</v>
      </c>
      <c r="B6" s="6" t="s">
        <v>452</v>
      </c>
      <c r="C6" s="9">
        <v>266</v>
      </c>
      <c r="D6" s="6" t="s">
        <v>970</v>
      </c>
      <c r="E6" s="6" t="s">
        <v>580</v>
      </c>
      <c r="F6" s="9">
        <v>404</v>
      </c>
    </row>
    <row r="7" spans="1:8" x14ac:dyDescent="0.2">
      <c r="A7" s="6" t="s">
        <v>971</v>
      </c>
      <c r="B7" s="6" t="s">
        <v>238</v>
      </c>
      <c r="C7" s="9">
        <v>168</v>
      </c>
      <c r="D7" s="6" t="s">
        <v>470</v>
      </c>
      <c r="E7" s="6" t="s">
        <v>207</v>
      </c>
      <c r="F7" s="9">
        <v>268</v>
      </c>
    </row>
    <row r="8" spans="1:8" x14ac:dyDescent="0.2">
      <c r="A8" s="6" t="s">
        <v>791</v>
      </c>
      <c r="B8" s="6" t="s">
        <v>292</v>
      </c>
      <c r="C8" s="9">
        <v>132</v>
      </c>
      <c r="D8" s="6" t="s">
        <v>972</v>
      </c>
      <c r="E8" s="6" t="s">
        <v>207</v>
      </c>
      <c r="F8" s="9">
        <v>168</v>
      </c>
    </row>
    <row r="9" spans="1:8" x14ac:dyDescent="0.2">
      <c r="A9" s="6" t="s">
        <v>792</v>
      </c>
      <c r="B9" s="6" t="s">
        <v>292</v>
      </c>
      <c r="C9" s="9">
        <v>132</v>
      </c>
      <c r="D9" s="6" t="s">
        <v>808</v>
      </c>
      <c r="E9" s="6" t="s">
        <v>290</v>
      </c>
      <c r="F9" s="9">
        <v>132</v>
      </c>
    </row>
    <row r="10" spans="1:8" x14ac:dyDescent="0.2">
      <c r="A10" s="6" t="s">
        <v>973</v>
      </c>
      <c r="B10" s="6" t="s">
        <v>292</v>
      </c>
      <c r="C10" s="9">
        <v>128</v>
      </c>
      <c r="D10" s="6" t="s">
        <v>809</v>
      </c>
      <c r="E10" s="6" t="s">
        <v>290</v>
      </c>
      <c r="F10" s="9">
        <v>132</v>
      </c>
    </row>
    <row r="11" spans="1:8" x14ac:dyDescent="0.2">
      <c r="A11" s="6" t="s">
        <v>424</v>
      </c>
      <c r="B11" s="6" t="s">
        <v>221</v>
      </c>
      <c r="C11" s="9">
        <v>117</v>
      </c>
      <c r="D11" s="6" t="s">
        <v>930</v>
      </c>
      <c r="E11" s="6" t="s">
        <v>374</v>
      </c>
      <c r="F11" s="9">
        <v>130</v>
      </c>
    </row>
    <row r="12" spans="1:8" x14ac:dyDescent="0.2">
      <c r="A12" s="6" t="s">
        <v>220</v>
      </c>
      <c r="B12" s="6" t="s">
        <v>221</v>
      </c>
      <c r="C12" s="9">
        <v>88</v>
      </c>
      <c r="D12" s="6" t="s">
        <v>974</v>
      </c>
      <c r="E12" s="6" t="s">
        <v>290</v>
      </c>
      <c r="F12" s="9">
        <v>128</v>
      </c>
    </row>
    <row r="13" spans="1:8" x14ac:dyDescent="0.2">
      <c r="A13" s="6" t="s">
        <v>528</v>
      </c>
      <c r="B13" s="6" t="s">
        <v>292</v>
      </c>
      <c r="C13" s="9">
        <v>72</v>
      </c>
      <c r="D13" s="6" t="s">
        <v>499</v>
      </c>
      <c r="E13" s="6" t="s">
        <v>472</v>
      </c>
      <c r="F13" s="9">
        <v>117</v>
      </c>
    </row>
    <row r="14" spans="1:8" x14ac:dyDescent="0.2">
      <c r="A14" s="6" t="s">
        <v>975</v>
      </c>
      <c r="B14" s="6" t="s">
        <v>292</v>
      </c>
      <c r="C14" s="9">
        <v>64</v>
      </c>
      <c r="D14" s="6" t="s">
        <v>932</v>
      </c>
      <c r="E14" s="6" t="s">
        <v>374</v>
      </c>
      <c r="F14" s="9">
        <v>110</v>
      </c>
    </row>
    <row r="15" spans="1:8" x14ac:dyDescent="0.2">
      <c r="A15" s="6" t="s">
        <v>577</v>
      </c>
      <c r="B15" s="6" t="s">
        <v>578</v>
      </c>
      <c r="C15" s="9">
        <v>33</v>
      </c>
      <c r="D15" s="6" t="s">
        <v>976</v>
      </c>
      <c r="E15" s="6" t="s">
        <v>977</v>
      </c>
      <c r="F15" s="9">
        <v>104</v>
      </c>
    </row>
    <row r="16" spans="1:8" x14ac:dyDescent="0.2">
      <c r="A16" s="6" t="s">
        <v>978</v>
      </c>
      <c r="B16" s="6" t="s">
        <v>207</v>
      </c>
      <c r="C16" s="9">
        <v>33</v>
      </c>
      <c r="D16" s="6" t="s">
        <v>979</v>
      </c>
      <c r="E16" s="6" t="s">
        <v>207</v>
      </c>
      <c r="F16" s="9">
        <v>102</v>
      </c>
    </row>
    <row r="17" spans="1:6" x14ac:dyDescent="0.2">
      <c r="A17" s="6" t="s">
        <v>980</v>
      </c>
      <c r="B17" s="6" t="s">
        <v>452</v>
      </c>
      <c r="C17" s="9">
        <v>28</v>
      </c>
      <c r="D17" s="6" t="s">
        <v>981</v>
      </c>
      <c r="E17" s="6" t="s">
        <v>207</v>
      </c>
      <c r="F17" s="9">
        <v>100</v>
      </c>
    </row>
    <row r="18" spans="1:6" x14ac:dyDescent="0.2">
      <c r="A18" s="6" t="s">
        <v>534</v>
      </c>
      <c r="B18" s="6" t="s">
        <v>292</v>
      </c>
      <c r="C18" s="9">
        <v>24</v>
      </c>
      <c r="D18" s="6" t="s">
        <v>982</v>
      </c>
      <c r="E18" s="6" t="s">
        <v>201</v>
      </c>
      <c r="F18" s="9">
        <v>94</v>
      </c>
    </row>
    <row r="19" spans="1:6" x14ac:dyDescent="0.2">
      <c r="A19" s="6" t="s">
        <v>294</v>
      </c>
      <c r="B19" s="6" t="s">
        <v>270</v>
      </c>
      <c r="C19" s="9">
        <v>18</v>
      </c>
      <c r="D19" s="6" t="s">
        <v>983</v>
      </c>
      <c r="E19" s="6" t="s">
        <v>977</v>
      </c>
      <c r="F19" s="9">
        <v>88</v>
      </c>
    </row>
    <row r="20" spans="1:6" x14ac:dyDescent="0.2">
      <c r="A20" s="6" t="s">
        <v>437</v>
      </c>
      <c r="B20" s="6" t="s">
        <v>270</v>
      </c>
      <c r="C20" s="9">
        <v>18</v>
      </c>
      <c r="D20" s="6" t="s">
        <v>529</v>
      </c>
      <c r="E20" s="6" t="s">
        <v>290</v>
      </c>
      <c r="F20" s="9">
        <v>72</v>
      </c>
    </row>
    <row r="21" spans="1:6" x14ac:dyDescent="0.2">
      <c r="A21" s="6" t="s">
        <v>540</v>
      </c>
      <c r="B21" s="6" t="s">
        <v>292</v>
      </c>
      <c r="C21" s="9">
        <v>12</v>
      </c>
      <c r="D21" s="6" t="s">
        <v>984</v>
      </c>
      <c r="E21" s="6" t="s">
        <v>207</v>
      </c>
      <c r="F21" s="9">
        <v>65</v>
      </c>
    </row>
    <row r="22" spans="1:6" x14ac:dyDescent="0.2">
      <c r="A22" s="6" t="s">
        <v>985</v>
      </c>
      <c r="B22" s="6" t="s">
        <v>304</v>
      </c>
      <c r="C22" s="9">
        <v>5</v>
      </c>
      <c r="D22" s="6" t="s">
        <v>986</v>
      </c>
      <c r="E22" s="6" t="s">
        <v>290</v>
      </c>
      <c r="F22" s="9">
        <v>64</v>
      </c>
    </row>
    <row r="23" spans="1:6" x14ac:dyDescent="0.2">
      <c r="A23" s="6" t="s">
        <v>400</v>
      </c>
      <c r="B23" s="6" t="s">
        <v>304</v>
      </c>
      <c r="C23" s="9">
        <v>5</v>
      </c>
      <c r="D23" s="6" t="s">
        <v>987</v>
      </c>
      <c r="E23" s="6" t="s">
        <v>580</v>
      </c>
      <c r="F23" s="9">
        <v>56</v>
      </c>
    </row>
    <row r="24" spans="1:6" x14ac:dyDescent="0.2">
      <c r="A24" s="6" t="s">
        <v>500</v>
      </c>
      <c r="B24" s="6" t="s">
        <v>270</v>
      </c>
      <c r="C24" s="9">
        <v>4</v>
      </c>
      <c r="D24" s="6" t="s">
        <v>988</v>
      </c>
      <c r="E24" s="6" t="s">
        <v>207</v>
      </c>
      <c r="F24" s="9">
        <v>49</v>
      </c>
    </row>
    <row r="25" spans="1:6" x14ac:dyDescent="0.2">
      <c r="A25" s="6" t="s">
        <v>556</v>
      </c>
      <c r="B25" s="6" t="s">
        <v>283</v>
      </c>
      <c r="C25" s="9">
        <v>4</v>
      </c>
      <c r="D25" s="6" t="s">
        <v>989</v>
      </c>
      <c r="E25" s="6" t="s">
        <v>580</v>
      </c>
      <c r="F25" s="9">
        <v>40</v>
      </c>
    </row>
    <row r="26" spans="1:6" x14ac:dyDescent="0.2">
      <c r="A26" s="6" t="s">
        <v>369</v>
      </c>
      <c r="B26" s="6" t="s">
        <v>270</v>
      </c>
      <c r="C26" s="9">
        <v>4</v>
      </c>
      <c r="D26" s="6" t="s">
        <v>990</v>
      </c>
      <c r="E26" s="6" t="s">
        <v>201</v>
      </c>
      <c r="F26" s="9">
        <v>38</v>
      </c>
    </row>
    <row r="27" spans="1:6" x14ac:dyDescent="0.2">
      <c r="A27" s="6" t="s">
        <v>991</v>
      </c>
      <c r="B27" s="6" t="s">
        <v>270</v>
      </c>
      <c r="C27" s="9">
        <v>4</v>
      </c>
      <c r="D27" s="6" t="s">
        <v>992</v>
      </c>
      <c r="E27" s="6" t="s">
        <v>201</v>
      </c>
      <c r="F27" s="9">
        <v>36</v>
      </c>
    </row>
    <row r="28" spans="1:6" x14ac:dyDescent="0.2">
      <c r="A28" s="6" t="s">
        <v>993</v>
      </c>
      <c r="B28" s="6" t="s">
        <v>304</v>
      </c>
      <c r="C28" s="9">
        <v>3</v>
      </c>
      <c r="D28" s="6" t="s">
        <v>522</v>
      </c>
      <c r="E28" s="6" t="s">
        <v>207</v>
      </c>
      <c r="F28" s="9">
        <v>33</v>
      </c>
    </row>
    <row r="29" spans="1:6" x14ac:dyDescent="0.2">
      <c r="A29" s="6" t="s">
        <v>803</v>
      </c>
      <c r="B29" s="6" t="s">
        <v>304</v>
      </c>
      <c r="C29" s="9">
        <v>3</v>
      </c>
      <c r="D29" s="6" t="s">
        <v>994</v>
      </c>
      <c r="E29" s="6" t="s">
        <v>207</v>
      </c>
      <c r="F29" s="9">
        <v>33</v>
      </c>
    </row>
    <row r="30" spans="1:6" x14ac:dyDescent="0.2">
      <c r="A30" s="6" t="s">
        <v>995</v>
      </c>
      <c r="B30" s="6" t="s">
        <v>304</v>
      </c>
      <c r="C30" s="9">
        <v>3</v>
      </c>
      <c r="D30" s="6" t="s">
        <v>579</v>
      </c>
      <c r="E30" s="6" t="s">
        <v>580</v>
      </c>
      <c r="F30" s="9">
        <v>32</v>
      </c>
    </row>
    <row r="31" spans="1:6" x14ac:dyDescent="0.2">
      <c r="A31" s="6" t="s">
        <v>996</v>
      </c>
      <c r="B31" s="6" t="s">
        <v>452</v>
      </c>
      <c r="C31" s="9">
        <v>3</v>
      </c>
      <c r="D31" s="6" t="s">
        <v>997</v>
      </c>
      <c r="E31" s="6" t="s">
        <v>402</v>
      </c>
      <c r="F31" s="9">
        <v>28</v>
      </c>
    </row>
    <row r="32" spans="1:6" x14ac:dyDescent="0.2">
      <c r="A32" s="6"/>
      <c r="B32" s="6"/>
      <c r="C32" s="9"/>
      <c r="D32" s="6" t="s">
        <v>998</v>
      </c>
      <c r="E32" s="6" t="s">
        <v>207</v>
      </c>
      <c r="F32" s="9">
        <v>25</v>
      </c>
    </row>
    <row r="33" spans="1:6" x14ac:dyDescent="0.2">
      <c r="A33" s="6"/>
      <c r="B33" s="6"/>
      <c r="C33" s="9"/>
      <c r="D33" s="6" t="s">
        <v>535</v>
      </c>
      <c r="E33" s="6" t="s">
        <v>290</v>
      </c>
      <c r="F33" s="9">
        <v>24</v>
      </c>
    </row>
    <row r="34" spans="1:6" x14ac:dyDescent="0.2">
      <c r="A34" s="6"/>
      <c r="B34" s="6"/>
      <c r="C34" s="9"/>
      <c r="D34" s="6" t="s">
        <v>999</v>
      </c>
      <c r="E34" s="6" t="s">
        <v>977</v>
      </c>
      <c r="F34" s="9">
        <v>20</v>
      </c>
    </row>
    <row r="35" spans="1:6" x14ac:dyDescent="0.2">
      <c r="A35" s="6"/>
      <c r="B35" s="6"/>
      <c r="C35" s="9"/>
      <c r="D35" s="6" t="s">
        <v>1000</v>
      </c>
      <c r="E35" s="6" t="s">
        <v>580</v>
      </c>
      <c r="F35" s="9">
        <v>18</v>
      </c>
    </row>
    <row r="36" spans="1:6" x14ac:dyDescent="0.2">
      <c r="A36" s="6"/>
      <c r="B36" s="6"/>
      <c r="C36" s="9"/>
      <c r="D36" s="6" t="s">
        <v>1001</v>
      </c>
      <c r="E36" s="6" t="s">
        <v>402</v>
      </c>
      <c r="F36" s="9">
        <v>14</v>
      </c>
    </row>
    <row r="37" spans="1:6" x14ac:dyDescent="0.2">
      <c r="A37" s="6"/>
      <c r="B37" s="6"/>
      <c r="C37" s="9"/>
      <c r="D37" s="6" t="s">
        <v>1002</v>
      </c>
      <c r="E37" s="6" t="s">
        <v>580</v>
      </c>
      <c r="F37" s="9">
        <v>14</v>
      </c>
    </row>
    <row r="38" spans="1:6" x14ac:dyDescent="0.2">
      <c r="A38" s="6"/>
      <c r="B38" s="6"/>
      <c r="C38" s="9"/>
      <c r="D38" s="6" t="s">
        <v>485</v>
      </c>
      <c r="E38" s="6" t="s">
        <v>207</v>
      </c>
      <c r="F38" s="9">
        <v>12</v>
      </c>
    </row>
    <row r="39" spans="1:6" x14ac:dyDescent="0.2">
      <c r="A39" s="6"/>
      <c r="B39" s="6"/>
      <c r="C39" s="9"/>
      <c r="D39" s="6" t="s">
        <v>541</v>
      </c>
      <c r="E39" s="6" t="s">
        <v>290</v>
      </c>
      <c r="F39" s="9">
        <v>12</v>
      </c>
    </row>
    <row r="40" spans="1:6" x14ac:dyDescent="0.2">
      <c r="A40" s="6"/>
      <c r="B40" s="6"/>
      <c r="C40" s="9"/>
      <c r="D40" s="6" t="s">
        <v>467</v>
      </c>
      <c r="E40" s="6" t="s">
        <v>207</v>
      </c>
      <c r="F40" s="9">
        <v>11</v>
      </c>
    </row>
    <row r="41" spans="1:6" x14ac:dyDescent="0.2">
      <c r="A41" s="6"/>
      <c r="B41" s="6"/>
      <c r="C41" s="9"/>
      <c r="D41" s="6" t="s">
        <v>728</v>
      </c>
      <c r="E41" s="6" t="s">
        <v>338</v>
      </c>
      <c r="F41" s="9">
        <v>8</v>
      </c>
    </row>
    <row r="42" spans="1:6" x14ac:dyDescent="0.2">
      <c r="A42" s="6"/>
      <c r="B42" s="6"/>
      <c r="C42" s="9"/>
      <c r="D42" s="6" t="s">
        <v>1003</v>
      </c>
      <c r="E42" s="6" t="s">
        <v>207</v>
      </c>
      <c r="F42" s="9">
        <v>7</v>
      </c>
    </row>
    <row r="43" spans="1:6" x14ac:dyDescent="0.2">
      <c r="A43" s="6"/>
      <c r="B43" s="6"/>
      <c r="C43" s="9"/>
      <c r="D43" s="6" t="s">
        <v>1004</v>
      </c>
      <c r="E43" s="6" t="s">
        <v>977</v>
      </c>
      <c r="F43" s="9">
        <v>7</v>
      </c>
    </row>
    <row r="44" spans="1:6" x14ac:dyDescent="0.2">
      <c r="A44" s="6"/>
      <c r="B44" s="6"/>
      <c r="C44" s="9"/>
      <c r="D44" s="6" t="s">
        <v>1005</v>
      </c>
      <c r="E44" s="6" t="s">
        <v>580</v>
      </c>
      <c r="F44" s="9">
        <v>6</v>
      </c>
    </row>
    <row r="45" spans="1:6" x14ac:dyDescent="0.2">
      <c r="A45" s="6"/>
      <c r="B45" s="6"/>
      <c r="C45" s="9"/>
      <c r="D45" s="6" t="s">
        <v>1006</v>
      </c>
      <c r="E45" s="6" t="s">
        <v>1007</v>
      </c>
      <c r="F45" s="9">
        <v>5</v>
      </c>
    </row>
    <row r="46" spans="1:6" x14ac:dyDescent="0.2">
      <c r="A46" s="6"/>
      <c r="B46" s="6"/>
      <c r="C46" s="9"/>
      <c r="D46" s="6" t="s">
        <v>724</v>
      </c>
      <c r="E46" s="6" t="s">
        <v>207</v>
      </c>
      <c r="F46" s="9">
        <v>5</v>
      </c>
    </row>
    <row r="47" spans="1:6" x14ac:dyDescent="0.2">
      <c r="A47" s="6"/>
      <c r="B47" s="6"/>
      <c r="C47" s="9"/>
      <c r="D47" s="6" t="s">
        <v>401</v>
      </c>
      <c r="E47" s="6" t="s">
        <v>402</v>
      </c>
      <c r="F47" s="9">
        <v>5</v>
      </c>
    </row>
    <row r="48" spans="1:6" x14ac:dyDescent="0.2">
      <c r="A48" s="6"/>
      <c r="B48" s="6"/>
      <c r="C48" s="9"/>
      <c r="D48" s="6" t="s">
        <v>1008</v>
      </c>
      <c r="E48" s="6" t="s">
        <v>374</v>
      </c>
      <c r="F48" s="9">
        <v>5</v>
      </c>
    </row>
    <row r="49" spans="1:6" x14ac:dyDescent="0.2">
      <c r="A49" s="6"/>
      <c r="B49" s="6"/>
      <c r="C49" s="9"/>
      <c r="D49" s="6" t="s">
        <v>936</v>
      </c>
      <c r="E49" s="6" t="s">
        <v>374</v>
      </c>
      <c r="F49" s="9">
        <v>5</v>
      </c>
    </row>
    <row r="50" spans="1:6" x14ac:dyDescent="0.2">
      <c r="A50" s="6"/>
      <c r="B50" s="6"/>
      <c r="C50" s="9"/>
      <c r="D50" s="6" t="s">
        <v>497</v>
      </c>
      <c r="E50" s="6" t="s">
        <v>207</v>
      </c>
      <c r="F50" s="9">
        <v>4</v>
      </c>
    </row>
    <row r="51" spans="1:6" x14ac:dyDescent="0.2">
      <c r="A51" s="6"/>
      <c r="B51" s="6"/>
      <c r="C51" s="9"/>
      <c r="D51" s="6" t="s">
        <v>1009</v>
      </c>
      <c r="E51" s="6" t="s">
        <v>207</v>
      </c>
      <c r="F51" s="9">
        <v>4</v>
      </c>
    </row>
    <row r="52" spans="1:6" x14ac:dyDescent="0.2">
      <c r="A52" s="6"/>
      <c r="B52" s="6"/>
      <c r="C52" s="9"/>
      <c r="D52" s="6" t="s">
        <v>1010</v>
      </c>
      <c r="E52" s="6" t="s">
        <v>1007</v>
      </c>
      <c r="F52" s="9">
        <v>3</v>
      </c>
    </row>
    <row r="53" spans="1:6" x14ac:dyDescent="0.2">
      <c r="A53" s="6"/>
      <c r="B53" s="6"/>
      <c r="C53" s="9"/>
      <c r="D53" s="6" t="s">
        <v>1011</v>
      </c>
      <c r="E53" s="6" t="s">
        <v>1007</v>
      </c>
      <c r="F53" s="9">
        <v>3</v>
      </c>
    </row>
    <row r="54" spans="1:6" x14ac:dyDescent="0.2">
      <c r="A54" s="6"/>
      <c r="B54" s="6"/>
      <c r="C54" s="9"/>
      <c r="D54" s="6" t="s">
        <v>1012</v>
      </c>
      <c r="E54" s="6" t="s">
        <v>402</v>
      </c>
      <c r="F54" s="9">
        <v>3</v>
      </c>
    </row>
    <row r="55" spans="1:6" x14ac:dyDescent="0.2">
      <c r="A55" s="6"/>
      <c r="B55" s="6"/>
      <c r="C55" s="9"/>
      <c r="D55" s="6" t="s">
        <v>1013</v>
      </c>
      <c r="E55" s="6" t="s">
        <v>446</v>
      </c>
      <c r="F55" s="9">
        <v>3</v>
      </c>
    </row>
    <row r="56" spans="1:6" x14ac:dyDescent="0.2">
      <c r="A56" s="6"/>
      <c r="B56" s="6"/>
      <c r="C56" s="9"/>
      <c r="D56" s="6" t="s">
        <v>934</v>
      </c>
      <c r="E56" s="6" t="s">
        <v>338</v>
      </c>
      <c r="F56" s="9">
        <v>2</v>
      </c>
    </row>
    <row r="57" spans="1:6" x14ac:dyDescent="0.2">
      <c r="A57" s="6"/>
      <c r="B57" s="6"/>
      <c r="C57" s="9"/>
      <c r="D57" s="6" t="s">
        <v>1014</v>
      </c>
      <c r="E57" s="6" t="s">
        <v>402</v>
      </c>
      <c r="F57" s="9">
        <v>2</v>
      </c>
    </row>
    <row r="58" spans="1:6" x14ac:dyDescent="0.2">
      <c r="A58" s="6"/>
      <c r="B58" s="6"/>
      <c r="C58" s="9"/>
      <c r="D58" s="6" t="s">
        <v>729</v>
      </c>
      <c r="E58" s="6" t="s">
        <v>580</v>
      </c>
      <c r="F58" s="9">
        <v>1</v>
      </c>
    </row>
    <row r="59" spans="1:6" x14ac:dyDescent="0.2">
      <c r="A59" s="6"/>
      <c r="B59" s="6"/>
      <c r="C59" s="9"/>
      <c r="D59" s="6" t="s">
        <v>1015</v>
      </c>
      <c r="E59" s="6" t="s">
        <v>338</v>
      </c>
      <c r="F59" s="9">
        <v>1</v>
      </c>
    </row>
    <row r="61" spans="1:6" x14ac:dyDescent="0.2">
      <c r="A61" s="10" t="s">
        <v>209</v>
      </c>
      <c r="B61" s="11"/>
      <c r="C61" s="12">
        <f>SUM(C5:C59)</f>
        <v>1732</v>
      </c>
      <c r="D61" s="11"/>
      <c r="E61" s="11"/>
      <c r="F61" s="12">
        <f>SUM(F5:F59)</f>
        <v>3352</v>
      </c>
    </row>
    <row r="62" spans="1:6" x14ac:dyDescent="0.2">
      <c r="A62" s="2" t="s">
        <v>210</v>
      </c>
      <c r="B62" s="2"/>
      <c r="C62" s="2"/>
      <c r="D62" s="2"/>
      <c r="E62" s="2"/>
      <c r="F62" s="12">
        <f>F61-C61</f>
        <v>1620</v>
      </c>
    </row>
  </sheetData>
  <mergeCells count="3">
    <mergeCell ref="A1:F1"/>
    <mergeCell ref="A2:F2"/>
    <mergeCell ref="A62:E62"/>
  </mergeCells>
  <hyperlinks>
    <hyperlink ref="H1" r:id="rId1" location="'Summary'!A1" xr:uid="{00000000-0004-0000-5D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94</vt:i4>
      </vt:variant>
    </vt:vector>
  </HeadingPairs>
  <TitlesOfParts>
    <vt:vector size="94" baseType="lpstr">
      <vt:lpstr>Summary</vt:lpstr>
      <vt:lpstr>1. BBT Tap Off Box (Bus Plug)</vt:lpstr>
      <vt:lpstr>2. Cbl 95 sq mm x 1C Cu flexibl</vt:lpstr>
      <vt:lpstr>3. MS Steel - (Ton)</vt:lpstr>
      <vt:lpstr>4. BBT End feed box bus bar</vt:lpstr>
      <vt:lpstr>5. Cbl 16sqmm X 4Core Cu. Arm</vt:lpstr>
      <vt:lpstr>6. Cbl 35 sq mm X 1C cu flexibl</vt:lpstr>
      <vt:lpstr>7. Cable Tray 50 MM</vt:lpstr>
      <vt:lpstr>8. Insulating Rubber Mat 1100 V</vt:lpstr>
      <vt:lpstr>9. Cbl HT End Termination</vt:lpstr>
      <vt:lpstr>10. Cbl 6 sq mm X 1C cu flexibl</vt:lpstr>
      <vt:lpstr>11. 50 mm G.I Flexible conduit </vt:lpstr>
      <vt:lpstr>12. Cbl 1.5 sq mm x 3C Cu flexi</vt:lpstr>
      <vt:lpstr>13. BBT Hanger</vt:lpstr>
      <vt:lpstr>14. Fastner's</vt:lpstr>
      <vt:lpstr>15. Cbl 4 sq mm X 5C Cu arm</vt:lpstr>
      <vt:lpstr>16. Cbl 4 Sq MM X 4C SQ MM Cu. </vt:lpstr>
      <vt:lpstr>17. CONTACTOR</vt:lpstr>
      <vt:lpstr>18. Cbl 1.5 sq mm x 4C Cu flexi</vt:lpstr>
      <vt:lpstr>19. 6 sq mm Cu flexible green w</vt:lpstr>
      <vt:lpstr>20. 25X3 MM Cu. earthing strips</vt:lpstr>
      <vt:lpstr>21. 8 SWG GI wire</vt:lpstr>
      <vt:lpstr>22. PG Gland PG-11 Cbl OD 05.0 </vt:lpstr>
      <vt:lpstr>23. DC Gland DBW-02 Cbl OD 18.5</vt:lpstr>
      <vt:lpstr>24. MCB 20A 1P</vt:lpstr>
      <vt:lpstr>25. DC Gland DBW-09 Cbl OD 36.6</vt:lpstr>
      <vt:lpstr>26. DC Gland DBW-07 Cbl OD 30.0</vt:lpstr>
      <vt:lpstr>27. MCB 40A 4P</vt:lpstr>
      <vt:lpstr>28. MCB 6A 1P</vt:lpstr>
      <vt:lpstr>29. Cable Tray Growmate</vt:lpstr>
      <vt:lpstr>30. LTG Emergency Light</vt:lpstr>
      <vt:lpstr>31. Vigi 63A 4P</vt:lpstr>
      <vt:lpstr>32. BBT Wall Frame Assembly</vt:lpstr>
      <vt:lpstr>33. Vigi 63A 2P</vt:lpstr>
      <vt:lpstr>34. RCCB 40A 2P</vt:lpstr>
      <vt:lpstr>35. Lightning Arrester</vt:lpstr>
      <vt:lpstr>36. Cbl 4 SQ MM X 4C Cu. ARM</vt:lpstr>
      <vt:lpstr>37. Vigi 25A 1PN</vt:lpstr>
      <vt:lpstr>38. DC Gland DBW-04 Cbl OD 23.0</vt:lpstr>
      <vt:lpstr>39. MCB 16A 2P</vt:lpstr>
      <vt:lpstr>40. Cbl 35 X 3.5C sq mm Cu Arm</vt:lpstr>
      <vt:lpstr>41. LV516302</vt:lpstr>
      <vt:lpstr>42. 12 way SPN DD DB</vt:lpstr>
      <vt:lpstr>43. BBT End cover for bus bar</vt:lpstr>
      <vt:lpstr>44. 50X6 MM HDGI earthing strip</vt:lpstr>
      <vt:lpstr>45. Vigi 16A 1PN</vt:lpstr>
      <vt:lpstr>46. Spreader</vt:lpstr>
      <vt:lpstr>47. 08 way VTPN DD DB</vt:lpstr>
      <vt:lpstr>48. 12 way TPN DD DB</vt:lpstr>
      <vt:lpstr>49. BBT Canopy</vt:lpstr>
      <vt:lpstr>50. Conector</vt:lpstr>
      <vt:lpstr>51. Earthing Pit Material</vt:lpstr>
      <vt:lpstr>52. 6 WAY TPN DD DB</vt:lpstr>
      <vt:lpstr>53. 25X3 mm HDGI earthing strip</vt:lpstr>
      <vt:lpstr>54. Junction Box With terminal </vt:lpstr>
      <vt:lpstr>55. RCCB 25A 4P</vt:lpstr>
      <vt:lpstr>56. DC Gland DBW-012 Cbl OD 61.</vt:lpstr>
      <vt:lpstr>57. Cbl 70 sq mm X 1C cu flexib</vt:lpstr>
      <vt:lpstr>58. RCCB 40A 2P</vt:lpstr>
      <vt:lpstr>59. 32A 3P+N+E Plug</vt:lpstr>
      <vt:lpstr>60. MCB 32A 4P</vt:lpstr>
      <vt:lpstr>61. BBT 90 Deg Elbow</vt:lpstr>
      <vt:lpstr>62. Threaded Rod</vt:lpstr>
      <vt:lpstr>63. MCB 10A 1P</vt:lpstr>
      <vt:lpstr>64. 8 way TPN DD DB</vt:lpstr>
      <vt:lpstr>65. DC Gland DBW-010 Cbl OD 46.</vt:lpstr>
      <vt:lpstr>66. Street Light Pole</vt:lpstr>
      <vt:lpstr>67. Exhaust Fan</vt:lpstr>
      <vt:lpstr>68. Maintenance Free Earthing</vt:lpstr>
      <vt:lpstr>69. Chemical Bags For Earthing</vt:lpstr>
      <vt:lpstr>70. 750 mm dia wall mount type </vt:lpstr>
      <vt:lpstr>71. BBT Copper termination link</vt:lpstr>
      <vt:lpstr>72. Insulator with Hardware</vt:lpstr>
      <vt:lpstr>73. Cbl 2.5 sq mm x 3C Cu flexi</vt:lpstr>
      <vt:lpstr>74. MCB 32A 1P</vt:lpstr>
      <vt:lpstr>75. BATTERY</vt:lpstr>
      <vt:lpstr>76. Wire 4 Sq MM X 1C CU Flex.</vt:lpstr>
      <vt:lpstr>77. Junction box</vt:lpstr>
      <vt:lpstr>78. CHAMBER &amp; COVER</vt:lpstr>
      <vt:lpstr>79. Cbl 6 SQ MM X 4C Cu. ARM</vt:lpstr>
      <vt:lpstr>80. Cbl 10 Sq MM X 4C Cu. ARM</vt:lpstr>
      <vt:lpstr>81. BBT Straight Feeder</vt:lpstr>
      <vt:lpstr>82. BBT Copper or Aluminium ter</vt:lpstr>
      <vt:lpstr>83. BBT Copper Flexible</vt:lpstr>
      <vt:lpstr>84. Wire 1.5 Sq MM X 1C Cu. Fle</vt:lpstr>
      <vt:lpstr>85. LTG Lighting Fixture</vt:lpstr>
      <vt:lpstr>86. Wire 1C X 2.5 SQ MM CU Flex</vt:lpstr>
      <vt:lpstr>87. Circuit Wire</vt:lpstr>
      <vt:lpstr>88. BBT Plug in hole for Bus ba</vt:lpstr>
      <vt:lpstr>89. MS Steel In - (Kg)</vt:lpstr>
      <vt:lpstr>90. Wire 1 Sq MM X 1C CU Flex.</vt:lpstr>
      <vt:lpstr>91. Cable Gland with Hood</vt:lpstr>
      <vt:lpstr>92. Electrical Panel</vt:lpstr>
      <vt:lpstr>93. 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Balkrishna Joshi</cp:lastModifiedBy>
  <cp:revision>0</cp:revision>
  <dcterms:created xsi:type="dcterms:W3CDTF">2026-09-09T12:52:46Z</dcterms:created>
  <dcterms:modified xsi:type="dcterms:W3CDTF">2026-09-09T14:52:40Z</dcterms:modified>
  <dc:language>en-US</dc:language>
</cp:coreProperties>
</file>